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D86388D3-A9B3-4F9D-9961-37718F59542A}" xr6:coauthVersionLast="47" xr6:coauthVersionMax="47" xr10:uidLastSave="{00000000-0000-0000-0000-000000000000}"/>
  <bookViews>
    <workbookView xWindow="-120" yWindow="-120" windowWidth="29040" windowHeight="15720" tabRatio="901" activeTab="3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Carteira" sheetId="16" r:id="rId6"/>
    <sheet name="Carteira Atac Setor" sheetId="25" r:id="rId7"/>
    <sheet name="Veículos" sheetId="21" r:id="rId8"/>
    <sheet name="Seguros e Cartões" sheetId="24" r:id="rId9"/>
    <sheet name="Captações" sheetId="22" r:id="rId10"/>
    <sheet name="Basiléia" sheetId="23" r:id="rId11"/>
    <sheet name="Qualidade Cart 2682" sheetId="3" r:id="rId12"/>
    <sheet name="Empréstimos" sheetId="4" r:id="rId13"/>
    <sheet name="Margem Financeira" sheetId="2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<sst xmlns="http://schemas.openxmlformats.org/spreadsheetml/2006/main" count="216" uniqueCount="126">
  <si>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</si>
  <si>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</si>
  <si>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</si>
  <si>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</si>
  <si>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</si>
  <si>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</si>
  <si>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</si>
  <si>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</si>
  <si>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</si>
  <si>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9M24</t>
  </si>
  <si>
    <t>9M25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</si>
  <si>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</si>
  <si>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</si>
  <si>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</si>
  <si>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</si>
  <si>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</si>
  <si>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</si>
  <si>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</si>
  <si>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</si>
  <si>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</si>
  <si>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</si>
  <si>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</si>
  <si>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</si>
  <si>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</si>
  <si>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</si>
  <si>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</si>
  <si>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</si>
  <si>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</si>
  <si>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</si>
  <si>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</si>
  <si>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</si>
  <si>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</si>
  <si>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</si>
  <si>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</si>
  <si>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</si>
  <si>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</si>
  <si>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</si>
  <si>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</si>
  <si>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Margem Financeira Bruta</t>
  </si>
  <si>
    <t>Custo de Crédito / Carteira de Crédito</t>
  </si>
  <si>
    <t>Paineis Solares</t>
  </si>
  <si>
    <t>Leves Usados</t>
  </si>
  <si>
    <t>FIDC</t>
  </si>
  <si>
    <t>Letras Financeiras</t>
  </si>
  <si>
    <t>Outros Veiculos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</si>
  <si>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</si>
  <si>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</si>
  <si>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</si>
  <si>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</si>
  <si>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</si>
  <si>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</si>
  <si>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</si>
  <si>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</si>
  <si>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</si>
  <si>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</si>
  <si>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</si>
  <si>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</si>
  <si>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</si>
  <si>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</si>
  <si>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</si>
  <si>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</si>
  <si>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</si>
  <si>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</si>
  <si>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</si>
  <si>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</si>
  <si>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</si>
  <si>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</si>
  <si>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</si>
  <si>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</si>
  <si>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</si>
  <si>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</si>
  <si>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</si>
  <si>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</si>
  <si>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</si>
  <si>
    <t>corporate</t>
  </si>
  <si>
    <t>large + if</t>
  </si>
  <si>
    <t>total</t>
  </si>
  <si>
    <t>Taxa Média</t>
  </si>
  <si>
    <t>Valor Entrada</t>
  </si>
  <si>
    <t>Veiculos Uisados</t>
  </si>
  <si>
    <t>Producao Veiculos Total</t>
  </si>
  <si>
    <t>Prazo Médio</t>
  </si>
  <si>
    <t>Depósitos a prazo</t>
  </si>
  <si>
    <t>Títulos emitidos no exterior</t>
  </si>
  <si>
    <t>cessões de crédito</t>
  </si>
  <si>
    <t>empréstimos e repasses</t>
  </si>
  <si>
    <t>depósitos interfinanceiros</t>
  </si>
  <si>
    <t>instrumentos de capital</t>
  </si>
  <si>
    <t>Carteira de Veiculos</t>
  </si>
  <si>
    <t>Pesados</t>
  </si>
  <si>
    <t>Part</t>
  </si>
  <si>
    <t>Setor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</si>
  <si>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</si>
  <si>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</si>
  <si>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</si>
  <si>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</si>
  <si>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</si>
  <si>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</si>
  <si>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</si>
  <si>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</si>
  <si>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</si>
  <si>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</si>
  <si>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</si>
  <si>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</si>
  <si>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</si>
  <si>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</si>
  <si>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</si>
  <si>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</si>
  <si>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</si>
  <si>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Setor 18</t>
  </si>
  <si>
    <t>Setor 19</t>
  </si>
  <si>
    <t>Setor 20</t>
  </si>
  <si>
    <t>Variação</t>
  </si>
  <si>
    <t>4T25/3T25</t>
  </si>
  <si>
    <t>4T25/4T24</t>
  </si>
  <si>
    <t>2025/2024</t>
  </si>
  <si>
    <t>Margem Fiannceira Com mercado</t>
  </si>
  <si>
    <t>receita de prestação de serviços</t>
  </si>
  <si>
    <t>custo de Crédito</t>
  </si>
  <si>
    <t>Outras Receitas/Despesas</t>
  </si>
  <si>
    <t>Despsas de Poessoal</t>
  </si>
  <si>
    <t>Despesas Tributarias</t>
  </si>
  <si>
    <t>Resultado antes da Tributacao sobre Lucro</t>
  </si>
  <si>
    <t>Importo de Renta</t>
  </si>
  <si>
    <t>Participacaoo de Naão controladores</t>
  </si>
  <si>
    <t>LucroLiquido Recorrente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</si>
</sst>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6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9" fontId="0" fillId="0" borderId="0" xfId="1" applyFont="1"/>
    <xf numFmtId="0" fontId="4" fillId="0" borderId="0" xfId="0" applyFont="1"/>
    <xf numFmtId="0" fontId="0" fillId="0" borderId="0" xfId="0" applyFont="1"/>
    <xf numFmtId="164" fontId="0" fillId="0" borderId="0" xfId="1" quotePrefix="1" applyNumberFormat="1" applyFont="1"/>
    <xf numFmtId="17" fontId="0" fillId="0" borderId="0" xfId="0" applyNumberFormat="1"/>
    <xf numFmtId="43" fontId="0" fillId="0" borderId="0" xfId="2" applyFont="1"/>
    <xf numFmtId="0" fontId="0" fillId="0" borderId="0" xfId="0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5</v>
      </c>
      <c r="E3" t="s">
        <v>8</v>
      </c>
      <c r="F3" t="s">
        <v>45</v>
      </c>
      <c r="G3">
        <v>2024</v>
      </c>
      <c r="H3">
        <v>2025</v>
      </c>
    </row>
    <row r="4" spans="3:8" x14ac:dyDescent="0.25">
      <c r="C4" t="s">
        <v>37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38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62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63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61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67</v>
      </c>
      <c r="D2" t="s">
        <v>5</v>
      </c>
      <c r="E2" t="s">
        <v>8</v>
      </c>
      <c r="F2" t="s">
        <v>45</v>
      </c>
      <c r="G2">
        <v>2024</v>
      </c>
      <c r="H2">
        <v>2025</v>
      </c>
    </row>
    <row r="5" spans="3:11" x14ac:dyDescent="0.25">
      <c r="C5" t="s">
        <v>68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67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39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1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5</v>
      </c>
      <c r="E16" t="s">
        <v>8</v>
      </c>
      <c r="F16" t="s">
        <v>45</v>
      </c>
      <c r="G16">
        <v>2024</v>
      </c>
      <c r="H16">
        <v>2025</v>
      </c>
    </row>
    <row r="17" spans="3:8" x14ac:dyDescent="0.25">
      <c r="H17" s="10"/>
    </row>
    <row r="19" spans="3:8" x14ac:dyDescent="0.25">
      <c r="C19" t="s">
        <v>64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65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66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0"/>
    </row>
    <row r="33" spans="3:11" x14ac:dyDescent="0.25">
      <c r="D33" t="s">
        <v>5</v>
      </c>
      <c r="E33" t="s">
        <v>8</v>
      </c>
      <c r="F33" t="s">
        <v>45</v>
      </c>
      <c r="G33">
        <v>2024</v>
      </c>
      <c r="H33">
        <v>2025</v>
      </c>
    </row>
    <row r="35" spans="3:11" x14ac:dyDescent="0.25">
      <c r="C35" t="s">
        <v>72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71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70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69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G67"/>
  <sheetViews>
    <sheetView workbookViewId="0">
      <selection activeCell="F19" sqref="F19"/>
    </sheetView>
  </sheetViews>
  <sheetFormatPr defaultRowHeight="15" x14ac:dyDescent="0.25"/>
  <sheetData>
    <row r="2" spans="4:6" x14ac:dyDescent="0.25">
      <c r="D2" t="s">
        <v>5</v>
      </c>
      <c r="E2" t="s">
        <v>8</v>
      </c>
      <c r="F2" t="s">
        <v>45</v>
      </c>
    </row>
    <row r="3" spans="4:6" x14ac:dyDescent="0.25">
      <c r="E3" s="3"/>
      <c r="F3" s="3"/>
    </row>
    <row r="4" spans="4:6" x14ac:dyDescent="0.25">
      <c r="E4" s="3"/>
      <c r="F4" s="3"/>
    </row>
    <row r="5" spans="4:6" x14ac:dyDescent="0.25">
      <c r="E5" s="3"/>
      <c r="F5" s="3"/>
    </row>
    <row r="7" spans="4:6" x14ac:dyDescent="0.25">
      <c r="E7" s="3"/>
      <c r="F7" s="3"/>
    </row>
    <row r="8" spans="4:6" x14ac:dyDescent="0.25">
      <c r="E8" s="3"/>
      <c r="F8" s="3"/>
    </row>
    <row r="9" spans="4:6" x14ac:dyDescent="0.25">
      <c r="E9" s="3"/>
      <c r="F9" s="3"/>
    </row>
    <row r="11" spans="4:6" x14ac:dyDescent="0.25">
      <c r="E11" s="3"/>
      <c r="F11" s="3"/>
    </row>
    <row r="12" spans="4:6" x14ac:dyDescent="0.25">
      <c r="E12" s="3"/>
      <c r="F12" s="3"/>
    </row>
    <row r="13" spans="4:6" x14ac:dyDescent="0.25">
      <c r="E13" s="3"/>
      <c r="F13" s="3"/>
    </row>
    <row r="17" spans="4:7" x14ac:dyDescent="0.25">
      <c r="D17" s="8">
        <v>1.68</v>
      </c>
      <c r="E17" s="8">
        <v>1.78</v>
      </c>
      <c r="F17" s="8">
        <v>1.69</v>
      </c>
    </row>
    <row r="19" spans="4:7" x14ac:dyDescent="0.25">
      <c r="E19">
        <v>826</v>
      </c>
      <c r="F19">
        <v>457</v>
      </c>
      <c r="G19" s="3">
        <v>-0.44700000000000001</v>
      </c>
    </row>
    <row r="20" spans="4:7" x14ac:dyDescent="0.25">
      <c r="E20" s="3">
        <v>0.01</v>
      </c>
      <c r="F20" s="3">
        <v>5.0000000000000001E-3</v>
      </c>
    </row>
    <row r="30" spans="4:7" x14ac:dyDescent="0.25">
      <c r="E30" t="s">
        <v>8</v>
      </c>
      <c r="F30" t="s">
        <v>45</v>
      </c>
    </row>
    <row r="32" spans="4:7" x14ac:dyDescent="0.25">
      <c r="E32" s="3">
        <v>6.5000000000000002E-2</v>
      </c>
      <c r="F32" s="3">
        <v>5.8000000000000003E-2</v>
      </c>
    </row>
    <row r="33" spans="5:6" x14ac:dyDescent="0.25">
      <c r="E33" s="3">
        <v>0.85</v>
      </c>
      <c r="F33" s="3">
        <v>0.85499999999999998</v>
      </c>
    </row>
    <row r="34" spans="5:6" x14ac:dyDescent="0.25">
      <c r="E34" s="3">
        <v>8.7999999999999995E-2</v>
      </c>
      <c r="F34" s="3">
        <v>8.6999999999999994E-2</v>
      </c>
    </row>
    <row r="35" spans="5:6" x14ac:dyDescent="0.25">
      <c r="E35" t="s">
        <v>8</v>
      </c>
      <c r="F35" t="s">
        <v>45</v>
      </c>
    </row>
    <row r="37" spans="5:6" x14ac:dyDescent="0.25">
      <c r="E37" s="3">
        <v>0.32</v>
      </c>
      <c r="F37" s="3">
        <v>0.32600000000000001</v>
      </c>
    </row>
    <row r="38" spans="5:6" x14ac:dyDescent="0.25">
      <c r="E38" s="3">
        <v>0.74</v>
      </c>
      <c r="F38" s="3">
        <v>0.76</v>
      </c>
    </row>
    <row r="40" spans="5:6" x14ac:dyDescent="0.25">
      <c r="E40" t="s">
        <v>8</v>
      </c>
      <c r="F40" t="s">
        <v>45</v>
      </c>
    </row>
    <row r="42" spans="5:6" x14ac:dyDescent="0.25">
      <c r="E42" s="3">
        <v>7.0000000000000007E-2</v>
      </c>
      <c r="F42" s="3">
        <v>6.5000000000000002E-2</v>
      </c>
    </row>
    <row r="43" spans="5:6" x14ac:dyDescent="0.25">
      <c r="E43" s="3">
        <v>0.82799999999999996</v>
      </c>
      <c r="F43" s="3">
        <v>0.83099999999999996</v>
      </c>
    </row>
    <row r="44" spans="5:6" x14ac:dyDescent="0.25">
      <c r="E44" s="3">
        <v>0.10300000000000001</v>
      </c>
      <c r="F44" s="3">
        <v>0.10400000000000001</v>
      </c>
    </row>
    <row r="45" spans="5:6" x14ac:dyDescent="0.25">
      <c r="E45" t="s">
        <v>8</v>
      </c>
      <c r="F45" t="s">
        <v>45</v>
      </c>
    </row>
    <row r="47" spans="5:6" x14ac:dyDescent="0.25">
      <c r="E47" s="3">
        <v>0.34</v>
      </c>
      <c r="F47" s="3">
        <v>0.35199999999999998</v>
      </c>
    </row>
    <row r="48" spans="5:6" x14ac:dyDescent="0.25">
      <c r="E48" s="3">
        <v>0.74</v>
      </c>
      <c r="F48" s="3">
        <v>0.75600000000000001</v>
      </c>
    </row>
    <row r="50" spans="5:6" x14ac:dyDescent="0.25">
      <c r="E50" t="s">
        <v>8</v>
      </c>
      <c r="F50" t="s">
        <v>45</v>
      </c>
    </row>
    <row r="52" spans="5:6" x14ac:dyDescent="0.25">
      <c r="E52" s="3">
        <v>3.1E-2</v>
      </c>
      <c r="F52" s="3">
        <v>2.8999999999999998E-2</v>
      </c>
    </row>
    <row r="53" spans="5:6" x14ac:dyDescent="0.25">
      <c r="E53" s="3">
        <v>0.93900000000000006</v>
      </c>
      <c r="F53" s="3">
        <v>0.94799999999999995</v>
      </c>
    </row>
    <row r="54" spans="5:6" x14ac:dyDescent="0.25">
      <c r="E54" s="3">
        <v>0.03</v>
      </c>
      <c r="F54" s="3">
        <v>2.2000000000000002E-2</v>
      </c>
    </row>
    <row r="55" spans="5:6" x14ac:dyDescent="0.25">
      <c r="E55" t="s">
        <v>8</v>
      </c>
      <c r="F55" t="s">
        <v>45</v>
      </c>
    </row>
    <row r="57" spans="5:6" x14ac:dyDescent="0.25">
      <c r="E57" s="3">
        <v>0.14000000000000001</v>
      </c>
      <c r="F57" s="3">
        <v>0.10199999999999999</v>
      </c>
    </row>
    <row r="58" spans="5:6" x14ac:dyDescent="0.25">
      <c r="E58" s="3">
        <v>0.86</v>
      </c>
      <c r="F58" s="3">
        <v>0.74099999999999999</v>
      </c>
    </row>
    <row r="61" spans="5:6" x14ac:dyDescent="0.25">
      <c r="E61" t="s">
        <v>8</v>
      </c>
      <c r="F61" t="s">
        <v>45</v>
      </c>
    </row>
    <row r="64" spans="5:6" x14ac:dyDescent="0.25">
      <c r="E64">
        <v>515299</v>
      </c>
      <c r="F64">
        <v>533967</v>
      </c>
    </row>
    <row r="65" spans="5:6" x14ac:dyDescent="0.25">
      <c r="E65" s="3">
        <v>6.0000000000000001E-3</v>
      </c>
      <c r="F65" s="3">
        <v>6.0000000000000001E-3</v>
      </c>
    </row>
    <row r="67" spans="5:6" x14ac:dyDescent="0.25">
      <c r="E67" s="3">
        <v>0.82099999999999995</v>
      </c>
      <c r="F67" s="3">
        <v>0.872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abSelected="1" workbookViewId="0">
      <selection activeCell="F35" sqref="F35"/>
    </sheetView>
  </sheetViews>
  <sheetFormatPr defaultRowHeight="15" x14ac:dyDescent="0.25"/>
  <cols>
    <col min="3" max="3" width="39.5703125" bestFit="1" customWidth="1"/>
    <col min="9" max="11" width="9.7109375" bestFit="1" customWidth="1"/>
  </cols>
  <sheetData>
    <row r="3" spans="3:11" x14ac:dyDescent="0.25">
      <c r="D3" t="s">
        <v>5</v>
      </c>
      <c r="E3" t="s">
        <v>8</v>
      </c>
      <c r="F3" t="s">
        <v>45</v>
      </c>
      <c r="G3">
        <v>2024</v>
      </c>
      <c r="H3">
        <v>2025</v>
      </c>
      <c r="I3" s="14" t="s">
        <v>112</v>
      </c>
      <c r="J3" s="14"/>
      <c r="K3" s="14"/>
    </row>
    <row r="4" spans="3:11" x14ac:dyDescent="0.25">
      <c r="I4" t="s">
        <v>113</v>
      </c>
      <c r="J4" t="s">
        <v>114</v>
      </c>
      <c r="K4" t="s">
        <v>115</v>
      </c>
    </row>
    <row r="5" spans="3:11" x14ac:dyDescent="0.25">
      <c r="C5" t="s">
        <v>37</v>
      </c>
      <c r="D5">
        <v>3214</v>
      </c>
      <c r="E5">
        <v>2919</v>
      </c>
      <c r="F5">
        <v>3136</v>
      </c>
      <c r="G5">
        <v>11980</v>
      </c>
      <c r="H5">
        <v>11913</v>
      </c>
      <c r="I5">
        <v>7.4</v>
      </c>
      <c r="J5">
        <v>-2.4</v>
      </c>
      <c r="K5">
        <v>-0.6</v>
      </c>
    </row>
    <row r="6" spans="3:11" x14ac:dyDescent="0.25">
      <c r="C6" t="s">
        <v>38</v>
      </c>
      <c r="D6">
        <v>2519</v>
      </c>
      <c r="E6">
        <v>2295</v>
      </c>
      <c r="F6">
        <v>3215165</v>
      </c>
      <c r="G6">
        <v>651</v>
      </c>
      <c r="H6">
        <v>65</v>
      </c>
      <c r="I6">
        <v>7.4</v>
      </c>
      <c r="J6">
        <v>-2.4</v>
      </c>
      <c r="K6">
        <v>-0.6</v>
      </c>
    </row>
    <row r="7" spans="3:11" x14ac:dyDescent="0.25">
      <c r="C7" t="s">
        <v>62</v>
      </c>
      <c r="D7">
        <v>1824</v>
      </c>
      <c r="E7">
        <v>1671</v>
      </c>
      <c r="F7">
        <v>6427194</v>
      </c>
      <c r="G7">
        <v>-10678</v>
      </c>
      <c r="H7">
        <v>-11783</v>
      </c>
      <c r="I7">
        <v>7.4</v>
      </c>
      <c r="J7">
        <v>-2.4</v>
      </c>
      <c r="K7">
        <v>-0.6</v>
      </c>
    </row>
    <row r="8" spans="3:11" x14ac:dyDescent="0.25">
      <c r="C8" t="s">
        <v>116</v>
      </c>
      <c r="D8">
        <v>1129</v>
      </c>
      <c r="E8">
        <v>1047</v>
      </c>
      <c r="F8">
        <v>9639223</v>
      </c>
      <c r="G8">
        <v>-22007</v>
      </c>
      <c r="H8">
        <v>-23631</v>
      </c>
      <c r="I8">
        <v>7.4</v>
      </c>
      <c r="J8">
        <v>-2.4</v>
      </c>
      <c r="K8">
        <v>-0.6</v>
      </c>
    </row>
    <row r="9" spans="3:11" x14ac:dyDescent="0.25">
      <c r="C9" t="s">
        <v>117</v>
      </c>
      <c r="D9">
        <v>434</v>
      </c>
      <c r="E9">
        <v>423</v>
      </c>
      <c r="F9">
        <v>12851252</v>
      </c>
      <c r="G9">
        <v>-33336</v>
      </c>
      <c r="H9">
        <v>-35479</v>
      </c>
      <c r="I9">
        <v>7.4</v>
      </c>
      <c r="J9">
        <v>-2.4</v>
      </c>
      <c r="K9">
        <v>-0.6</v>
      </c>
    </row>
    <row r="10" spans="3:11" x14ac:dyDescent="0.25">
      <c r="C10" t="s">
        <v>118</v>
      </c>
      <c r="D10">
        <v>-261</v>
      </c>
      <c r="E10">
        <v>-201</v>
      </c>
      <c r="F10">
        <v>16063281</v>
      </c>
      <c r="G10">
        <v>-44665</v>
      </c>
      <c r="H10">
        <v>-47327</v>
      </c>
      <c r="I10">
        <v>7.4</v>
      </c>
      <c r="J10">
        <v>-2.4</v>
      </c>
      <c r="K10">
        <v>-0.6</v>
      </c>
    </row>
    <row r="11" spans="3:11" x14ac:dyDescent="0.25">
      <c r="C11" t="s">
        <v>119</v>
      </c>
      <c r="D11">
        <v>-956</v>
      </c>
      <c r="E11">
        <v>-825</v>
      </c>
      <c r="F11">
        <v>19275310</v>
      </c>
      <c r="G11">
        <v>-55994</v>
      </c>
      <c r="H11">
        <v>-59175</v>
      </c>
      <c r="I11">
        <v>7.4</v>
      </c>
      <c r="J11">
        <v>-2.4</v>
      </c>
      <c r="K11">
        <v>-0.6</v>
      </c>
    </row>
    <row r="12" spans="3:11" x14ac:dyDescent="0.25">
      <c r="C12" t="s">
        <v>120</v>
      </c>
      <c r="D12">
        <v>-1651</v>
      </c>
      <c r="E12">
        <v>-1449</v>
      </c>
      <c r="F12">
        <v>22487339</v>
      </c>
      <c r="G12">
        <v>-67323</v>
      </c>
      <c r="H12">
        <v>-71023</v>
      </c>
      <c r="I12">
        <v>7.4</v>
      </c>
      <c r="J12">
        <v>-2.4</v>
      </c>
      <c r="K12">
        <v>-0.6</v>
      </c>
    </row>
    <row r="13" spans="3:11" x14ac:dyDescent="0.25">
      <c r="C13" t="s">
        <v>121</v>
      </c>
      <c r="D13">
        <v>-2346</v>
      </c>
      <c r="E13">
        <v>-2073</v>
      </c>
      <c r="F13">
        <v>25699368</v>
      </c>
      <c r="G13">
        <v>-78652</v>
      </c>
      <c r="H13">
        <v>-82871</v>
      </c>
      <c r="I13">
        <v>7.4</v>
      </c>
      <c r="J13">
        <v>-2.4</v>
      </c>
      <c r="K13">
        <v>-0.6</v>
      </c>
    </row>
    <row r="14" spans="3:11" x14ac:dyDescent="0.25">
      <c r="C14" t="s">
        <v>119</v>
      </c>
      <c r="D14">
        <v>-3041</v>
      </c>
      <c r="E14">
        <v>-2697</v>
      </c>
      <c r="F14">
        <v>28911397</v>
      </c>
      <c r="G14">
        <v>-89981</v>
      </c>
      <c r="H14">
        <v>-94719</v>
      </c>
      <c r="I14">
        <v>7.4</v>
      </c>
      <c r="J14">
        <v>-2.4</v>
      </c>
      <c r="K14">
        <v>-0.6</v>
      </c>
    </row>
    <row r="15" spans="3:11" x14ac:dyDescent="0.25">
      <c r="C15" t="s">
        <v>122</v>
      </c>
      <c r="D15">
        <v>-3736</v>
      </c>
      <c r="E15">
        <v>-3321</v>
      </c>
      <c r="F15">
        <v>32123426</v>
      </c>
      <c r="G15">
        <v>-101310</v>
      </c>
      <c r="H15">
        <v>-106567</v>
      </c>
      <c r="I15">
        <v>7.4</v>
      </c>
      <c r="J15">
        <v>-2.4</v>
      </c>
      <c r="K15">
        <v>-0.6</v>
      </c>
    </row>
    <row r="16" spans="3:11" x14ac:dyDescent="0.25">
      <c r="C16" t="s">
        <v>123</v>
      </c>
      <c r="D16">
        <v>-4431</v>
      </c>
      <c r="E16">
        <v>-3945</v>
      </c>
      <c r="F16">
        <v>35335455</v>
      </c>
      <c r="G16">
        <v>-112639</v>
      </c>
      <c r="H16">
        <v>-118415</v>
      </c>
      <c r="I16">
        <v>7.4</v>
      </c>
      <c r="J16">
        <v>-2.4</v>
      </c>
      <c r="K16">
        <v>-0.6</v>
      </c>
    </row>
    <row r="17" spans="3:14" x14ac:dyDescent="0.25">
      <c r="C17" t="s">
        <v>124</v>
      </c>
      <c r="D17">
        <v>-5126</v>
      </c>
      <c r="E17">
        <v>-4569</v>
      </c>
      <c r="F17">
        <v>38547484</v>
      </c>
      <c r="G17">
        <v>-123968</v>
      </c>
      <c r="H17">
        <v>-130263</v>
      </c>
      <c r="I17">
        <v>7.4</v>
      </c>
      <c r="J17">
        <v>-2.4</v>
      </c>
      <c r="K17">
        <v>-0.6</v>
      </c>
    </row>
    <row r="18" spans="3:14" x14ac:dyDescent="0.25">
      <c r="C18" t="s">
        <v>125</v>
      </c>
      <c r="D18">
        <v>-5821</v>
      </c>
      <c r="E18">
        <v>-5193</v>
      </c>
      <c r="F18">
        <v>41759513</v>
      </c>
      <c r="G18">
        <v>-135297</v>
      </c>
      <c r="H18">
        <v>-142111</v>
      </c>
      <c r="I18">
        <v>7.4</v>
      </c>
      <c r="J18">
        <v>-2.4</v>
      </c>
      <c r="K18">
        <v>-0.6</v>
      </c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mergeCells count="1">
    <mergeCell ref="I3:K3"/>
  </mergeCells>
  <phoneticPr fontId="5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22</v>
      </c>
      <c r="C1" t="s">
        <v>33</v>
      </c>
      <c r="D1" t="s">
        <v>32</v>
      </c>
      <c r="H1" t="s">
        <v>34</v>
      </c>
    </row>
    <row r="2" spans="1:14" x14ac:dyDescent="0.25">
      <c r="A2" t="s">
        <v>23</v>
      </c>
      <c r="B2" t="s">
        <v>25</v>
      </c>
      <c r="C2">
        <v>44.495999999999995</v>
      </c>
      <c r="D2" s="7">
        <f>C2/SUM($C$2:$C$1048576)</f>
        <v>0.47999999999999987</v>
      </c>
      <c r="N2" t="s">
        <v>35</v>
      </c>
    </row>
    <row r="3" spans="1:14" x14ac:dyDescent="0.25">
      <c r="A3" t="s">
        <v>14</v>
      </c>
      <c r="B3" t="s">
        <v>26</v>
      </c>
      <c r="C3">
        <v>13.904999999999998</v>
      </c>
      <c r="D3" s="7">
        <f t="shared" ref="D3:D66" si="0">C3/SUM($C$2:$C$1048576)</f>
        <v>0.14999999999999994</v>
      </c>
      <c r="H3" t="s">
        <v>4</v>
      </c>
      <c r="I3" t="s">
        <v>7</v>
      </c>
      <c r="J3" t="s">
        <v>8</v>
      </c>
      <c r="K3" t="s">
        <v>9</v>
      </c>
      <c r="L3" t="s">
        <v>10</v>
      </c>
      <c r="N3" s="3">
        <v>-0.13300000000000001</v>
      </c>
    </row>
    <row r="4" spans="1:14" x14ac:dyDescent="0.25">
      <c r="A4" t="s">
        <v>14</v>
      </c>
      <c r="B4" t="s">
        <v>27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24</v>
      </c>
      <c r="B5" t="s">
        <v>15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24</v>
      </c>
      <c r="B6" t="s">
        <v>28</v>
      </c>
      <c r="C6">
        <v>2.7809999999999997</v>
      </c>
      <c r="D6" s="7">
        <f t="shared" si="0"/>
        <v>2.9999999999999992E-2</v>
      </c>
    </row>
    <row r="7" spans="1:14" x14ac:dyDescent="0.25">
      <c r="A7" t="s">
        <v>24</v>
      </c>
      <c r="B7" t="s">
        <v>18</v>
      </c>
      <c r="C7">
        <v>4.6349999999999998</v>
      </c>
      <c r="D7" s="7">
        <f t="shared" si="0"/>
        <v>4.9999999999999989E-2</v>
      </c>
    </row>
    <row r="8" spans="1:14" x14ac:dyDescent="0.25">
      <c r="A8" t="s">
        <v>24</v>
      </c>
      <c r="B8" t="s">
        <v>29</v>
      </c>
      <c r="C8">
        <v>4.6349999999999998</v>
      </c>
      <c r="D8" s="7">
        <f t="shared" si="0"/>
        <v>4.9999999999999989E-2</v>
      </c>
    </row>
    <row r="9" spans="1:14" x14ac:dyDescent="0.25">
      <c r="A9" t="s">
        <v>24</v>
      </c>
      <c r="B9" t="s">
        <v>30</v>
      </c>
      <c r="C9">
        <v>3.7079999999999997</v>
      </c>
      <c r="D9" s="7">
        <f t="shared" si="0"/>
        <v>3.9999999999999987E-2</v>
      </c>
    </row>
    <row r="10" spans="1:14" x14ac:dyDescent="0.25">
      <c r="A10" t="s">
        <v>24</v>
      </c>
      <c r="B10" t="s">
        <v>31</v>
      </c>
      <c r="C10">
        <v>7.4159999999999995</v>
      </c>
      <c r="D10" s="7">
        <f t="shared" si="0"/>
        <v>7.9999999999999974E-2</v>
      </c>
      <c r="H10" t="s">
        <v>36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120"/>
  <sheetViews>
    <sheetView topLeftCell="A106" workbookViewId="0">
      <selection activeCell="J110" sqref="J110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22</v>
      </c>
      <c r="D12" t="s">
        <v>5</v>
      </c>
      <c r="E12" t="s">
        <v>8</v>
      </c>
      <c r="F12" t="s">
        <v>45</v>
      </c>
    </row>
    <row r="14" spans="3:6" s="9" customFormat="1" ht="14.25" customHeight="1" x14ac:dyDescent="0.25">
      <c r="C14" s="9" t="s">
        <v>49</v>
      </c>
      <c r="D14" s="9">
        <v>61464</v>
      </c>
      <c r="E14" s="9">
        <v>65935</v>
      </c>
      <c r="F14" s="9">
        <v>69333</v>
      </c>
    </row>
    <row r="15" spans="3:6" s="9" customFormat="1" x14ac:dyDescent="0.25">
      <c r="C15" s="9" t="s">
        <v>50</v>
      </c>
      <c r="D15" s="9">
        <v>52789</v>
      </c>
      <c r="E15" s="9">
        <v>56267</v>
      </c>
      <c r="F15" s="9">
        <v>58802</v>
      </c>
    </row>
    <row r="16" spans="3:6" x14ac:dyDescent="0.25">
      <c r="C16" t="s">
        <v>25</v>
      </c>
      <c r="D16">
        <v>42236</v>
      </c>
      <c r="E16">
        <v>44852</v>
      </c>
      <c r="F16">
        <v>46888</v>
      </c>
    </row>
    <row r="17" spans="3:14" x14ac:dyDescent="0.25">
      <c r="C17" t="s">
        <v>46</v>
      </c>
      <c r="D17">
        <v>2219</v>
      </c>
      <c r="E17">
        <v>2913</v>
      </c>
      <c r="F17">
        <v>3258</v>
      </c>
    </row>
    <row r="18" spans="3:14" x14ac:dyDescent="0.25">
      <c r="C18" t="s">
        <v>47</v>
      </c>
      <c r="D18">
        <v>3548</v>
      </c>
      <c r="E18">
        <v>4262</v>
      </c>
      <c r="F18">
        <v>4558</v>
      </c>
    </row>
    <row r="19" spans="3:14" x14ac:dyDescent="0.25">
      <c r="C19" t="s">
        <v>40</v>
      </c>
      <c r="D19">
        <v>4167</v>
      </c>
      <c r="E19">
        <v>3795</v>
      </c>
      <c r="F19">
        <v>3731</v>
      </c>
    </row>
    <row r="20" spans="3:14" x14ac:dyDescent="0.25">
      <c r="C20" t="s">
        <v>17</v>
      </c>
      <c r="D20">
        <v>513</v>
      </c>
      <c r="E20">
        <v>395</v>
      </c>
      <c r="F20">
        <v>333</v>
      </c>
    </row>
    <row r="21" spans="3:14" x14ac:dyDescent="0.25">
      <c r="C21" t="s">
        <v>48</v>
      </c>
      <c r="D21">
        <v>106</v>
      </c>
      <c r="E21">
        <v>50</v>
      </c>
      <c r="F21">
        <v>35</v>
      </c>
    </row>
    <row r="22" spans="3:14" s="9" customFormat="1" x14ac:dyDescent="0.25">
      <c r="C22" s="9" t="s">
        <v>51</v>
      </c>
      <c r="D22" s="9">
        <v>8857</v>
      </c>
      <c r="E22" s="9">
        <v>9668</v>
      </c>
      <c r="F22" s="9">
        <v>10531</v>
      </c>
    </row>
    <row r="23" spans="3:14" x14ac:dyDescent="0.25">
      <c r="C23" t="s">
        <v>52</v>
      </c>
      <c r="D23">
        <v>4032</v>
      </c>
      <c r="E23">
        <v>4797</v>
      </c>
      <c r="F23">
        <v>5262</v>
      </c>
    </row>
    <row r="24" spans="3:14" x14ac:dyDescent="0.25">
      <c r="C24" t="s">
        <v>53</v>
      </c>
      <c r="D24">
        <v>4765</v>
      </c>
      <c r="E24">
        <v>4829</v>
      </c>
      <c r="F24">
        <v>5230</v>
      </c>
    </row>
    <row r="25" spans="3:14" x14ac:dyDescent="0.25">
      <c r="C25" t="s">
        <v>54</v>
      </c>
      <c r="D25">
        <v>60</v>
      </c>
      <c r="E25">
        <v>43</v>
      </c>
      <c r="F25">
        <v>39</v>
      </c>
      <c r="N25" s="1"/>
    </row>
    <row r="26" spans="3:14" s="9" customFormat="1" x14ac:dyDescent="0.25"/>
    <row r="27" spans="3:14" x14ac:dyDescent="0.25">
      <c r="C27" s="9" t="s">
        <v>55</v>
      </c>
      <c r="D27" s="9">
        <v>12884</v>
      </c>
      <c r="E27" s="9">
        <v>9628</v>
      </c>
      <c r="F27" s="9">
        <v>10318</v>
      </c>
    </row>
    <row r="28" spans="3:14" x14ac:dyDescent="0.25">
      <c r="C28" t="s">
        <v>26</v>
      </c>
      <c r="D28">
        <v>6426</v>
      </c>
      <c r="E28">
        <v>5949</v>
      </c>
      <c r="F28">
        <v>6547</v>
      </c>
    </row>
    <row r="29" spans="3:14" x14ac:dyDescent="0.25">
      <c r="C29" t="s">
        <v>56</v>
      </c>
      <c r="D29">
        <v>5114</v>
      </c>
      <c r="E29">
        <v>2655</v>
      </c>
      <c r="F29">
        <v>2507</v>
      </c>
    </row>
    <row r="30" spans="3:14" x14ac:dyDescent="0.25">
      <c r="C30" t="s">
        <v>57</v>
      </c>
      <c r="D30">
        <v>1343</v>
      </c>
      <c r="E30">
        <v>1025</v>
      </c>
      <c r="F30">
        <v>1265</v>
      </c>
    </row>
    <row r="34" spans="3:6" x14ac:dyDescent="0.25">
      <c r="C34" s="9" t="s">
        <v>58</v>
      </c>
      <c r="D34" s="9">
        <v>28856</v>
      </c>
      <c r="E34" s="9">
        <v>26665</v>
      </c>
      <c r="F34" s="9">
        <v>28323</v>
      </c>
    </row>
    <row r="35" spans="3:6" x14ac:dyDescent="0.25">
      <c r="C35" t="s">
        <v>59</v>
      </c>
      <c r="D35">
        <v>6008</v>
      </c>
      <c r="E35">
        <v>5934</v>
      </c>
      <c r="F35">
        <v>6120</v>
      </c>
    </row>
    <row r="36" spans="3:6" x14ac:dyDescent="0.25">
      <c r="C36" t="s">
        <v>60</v>
      </c>
      <c r="D36">
        <v>9964</v>
      </c>
      <c r="E36">
        <v>11103</v>
      </c>
      <c r="F36">
        <v>11885</v>
      </c>
    </row>
    <row r="40" spans="3:6" x14ac:dyDescent="0.25">
      <c r="C40" t="s">
        <v>73</v>
      </c>
      <c r="D40">
        <v>90502</v>
      </c>
      <c r="E40">
        <v>92599</v>
      </c>
      <c r="F40">
        <v>97656</v>
      </c>
    </row>
    <row r="115" spans="3:6" x14ac:dyDescent="0.25">
      <c r="D115" t="s">
        <v>5</v>
      </c>
      <c r="E115" t="s">
        <v>8</v>
      </c>
      <c r="F115" t="s">
        <v>45</v>
      </c>
    </row>
    <row r="117" spans="3:6" x14ac:dyDescent="0.25">
      <c r="C117" t="s">
        <v>74</v>
      </c>
      <c r="D117">
        <v>14043</v>
      </c>
      <c r="E117">
        <v>14016</v>
      </c>
      <c r="F117">
        <v>15250</v>
      </c>
    </row>
    <row r="118" spans="3:6" x14ac:dyDescent="0.25">
      <c r="C118" t="s">
        <v>75</v>
      </c>
      <c r="D118">
        <v>11864</v>
      </c>
      <c r="E118">
        <v>9844</v>
      </c>
      <c r="F118">
        <v>9327</v>
      </c>
    </row>
    <row r="119" spans="3:6" x14ac:dyDescent="0.25">
      <c r="C119" t="s">
        <v>28</v>
      </c>
      <c r="D119">
        <v>2948</v>
      </c>
      <c r="E119">
        <v>2805</v>
      </c>
      <c r="F119">
        <v>3746</v>
      </c>
    </row>
    <row r="120" spans="3:6" x14ac:dyDescent="0.25">
      <c r="C120" t="s">
        <v>76</v>
      </c>
      <c r="D120">
        <v>28856</v>
      </c>
      <c r="E120">
        <v>26665</v>
      </c>
      <c r="F120">
        <v>28323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474B8-8251-4737-B9B2-B63C995DD22C}">
  <dimension ref="B2:F23"/>
  <sheetViews>
    <sheetView workbookViewId="0">
      <selection activeCell="G7" sqref="G7"/>
    </sheetView>
  </sheetViews>
  <sheetFormatPr defaultRowHeight="15" x14ac:dyDescent="0.25"/>
  <sheetData>
    <row r="2" spans="2:6" x14ac:dyDescent="0.25">
      <c r="C2" t="s">
        <v>5</v>
      </c>
      <c r="E2" t="s">
        <v>45</v>
      </c>
    </row>
    <row r="3" spans="2:6" x14ac:dyDescent="0.25">
      <c r="B3" t="s">
        <v>91</v>
      </c>
      <c r="D3" t="s">
        <v>90</v>
      </c>
      <c r="F3" t="s">
        <v>90</v>
      </c>
    </row>
    <row r="4" spans="2:6" x14ac:dyDescent="0.25">
      <c r="B4" t="s">
        <v>92</v>
      </c>
      <c r="D4" s="8">
        <v>0.125</v>
      </c>
      <c r="F4" s="8">
        <v>0.125</v>
      </c>
    </row>
    <row r="5" spans="2:6" x14ac:dyDescent="0.25">
      <c r="B5" t="s">
        <v>93</v>
      </c>
      <c r="D5" s="8">
        <v>0.152</v>
      </c>
      <c r="F5" s="8">
        <v>0.152</v>
      </c>
    </row>
    <row r="6" spans="2:6" x14ac:dyDescent="0.25">
      <c r="B6" t="s">
        <v>94</v>
      </c>
      <c r="D6" s="8">
        <v>0.10299999999999999</v>
      </c>
      <c r="F6" s="8">
        <v>0.10299999999999999</v>
      </c>
    </row>
    <row r="7" spans="2:6" x14ac:dyDescent="0.25">
      <c r="B7" t="s">
        <v>95</v>
      </c>
      <c r="D7" s="8">
        <v>0.08</v>
      </c>
      <c r="F7" s="8">
        <v>0.08</v>
      </c>
    </row>
    <row r="8" spans="2:6" x14ac:dyDescent="0.25">
      <c r="B8" t="s">
        <v>96</v>
      </c>
      <c r="D8" s="8">
        <v>7.0000000000000007E-2</v>
      </c>
      <c r="F8" s="8">
        <v>7.0000000000000007E-2</v>
      </c>
    </row>
    <row r="9" spans="2:6" x14ac:dyDescent="0.25">
      <c r="B9" t="s">
        <v>97</v>
      </c>
      <c r="D9" s="8">
        <v>0.05</v>
      </c>
      <c r="F9" s="8">
        <v>0.05</v>
      </c>
    </row>
    <row r="10" spans="2:6" x14ac:dyDescent="0.25">
      <c r="B10" t="s">
        <v>98</v>
      </c>
      <c r="D10" s="8">
        <v>0.05</v>
      </c>
      <c r="F10" s="8">
        <v>0.05</v>
      </c>
    </row>
    <row r="11" spans="2:6" x14ac:dyDescent="0.25">
      <c r="B11" t="s">
        <v>99</v>
      </c>
      <c r="D11" s="8">
        <v>0.04</v>
      </c>
      <c r="F11" s="8">
        <v>0.04</v>
      </c>
    </row>
    <row r="12" spans="2:6" x14ac:dyDescent="0.25">
      <c r="B12" t="s">
        <v>100</v>
      </c>
      <c r="D12" s="8">
        <v>0.04</v>
      </c>
      <c r="F12" s="8">
        <v>0.04</v>
      </c>
    </row>
    <row r="13" spans="2:6" x14ac:dyDescent="0.25">
      <c r="B13" t="s">
        <v>101</v>
      </c>
      <c r="D13" s="8">
        <v>0.03</v>
      </c>
      <c r="F13" s="8">
        <v>0.03</v>
      </c>
    </row>
    <row r="14" spans="2:6" x14ac:dyDescent="0.25">
      <c r="B14" t="s">
        <v>102</v>
      </c>
      <c r="D14" s="8">
        <v>0.03</v>
      </c>
      <c r="F14" s="8">
        <v>0.03</v>
      </c>
    </row>
    <row r="15" spans="2:6" x14ac:dyDescent="0.25">
      <c r="B15" t="s">
        <v>103</v>
      </c>
      <c r="D15" s="8">
        <v>0.03</v>
      </c>
      <c r="F15" s="8">
        <v>0.03</v>
      </c>
    </row>
    <row r="16" spans="2:6" x14ac:dyDescent="0.25">
      <c r="B16" t="s">
        <v>104</v>
      </c>
      <c r="D16" s="8">
        <v>0.02</v>
      </c>
      <c r="F16" s="8">
        <v>0.02</v>
      </c>
    </row>
    <row r="17" spans="2:6" x14ac:dyDescent="0.25">
      <c r="B17" t="s">
        <v>105</v>
      </c>
      <c r="D17" s="8">
        <v>0.02</v>
      </c>
      <c r="F17" s="8">
        <v>0.02</v>
      </c>
    </row>
    <row r="18" spans="2:6" x14ac:dyDescent="0.25">
      <c r="B18" t="s">
        <v>106</v>
      </c>
      <c r="D18" s="8">
        <v>0.02</v>
      </c>
      <c r="F18" s="8">
        <v>0.02</v>
      </c>
    </row>
    <row r="19" spans="2:6" x14ac:dyDescent="0.25">
      <c r="B19" t="s">
        <v>107</v>
      </c>
      <c r="D19" s="8">
        <v>0.01</v>
      </c>
      <c r="F19" s="8">
        <v>0.02</v>
      </c>
    </row>
    <row r="20" spans="2:6" x14ac:dyDescent="0.25">
      <c r="B20" t="s">
        <v>108</v>
      </c>
      <c r="D20" s="8">
        <v>0.01</v>
      </c>
      <c r="F20" s="8">
        <v>0.01</v>
      </c>
    </row>
    <row r="21" spans="2:6" x14ac:dyDescent="0.25">
      <c r="B21" t="s">
        <v>109</v>
      </c>
      <c r="D21" s="8">
        <v>0</v>
      </c>
      <c r="F21" s="8">
        <v>0.01</v>
      </c>
    </row>
    <row r="22" spans="2:6" x14ac:dyDescent="0.25">
      <c r="B22" t="s">
        <v>110</v>
      </c>
      <c r="D22" s="8">
        <v>0.01</v>
      </c>
      <c r="F22" s="8">
        <v>0</v>
      </c>
    </row>
    <row r="23" spans="2:6" x14ac:dyDescent="0.25">
      <c r="B23" t="s">
        <v>111</v>
      </c>
      <c r="D23" s="8">
        <v>0.13</v>
      </c>
      <c r="F23" s="8">
        <v>0.13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22F5-4F73-43C4-84CE-1220F786E75E}">
  <dimension ref="C3:K23"/>
  <sheetViews>
    <sheetView workbookViewId="0">
      <selection activeCell="F14" sqref="F14"/>
    </sheetView>
  </sheetViews>
  <sheetFormatPr defaultRowHeight="15" x14ac:dyDescent="0.25"/>
  <cols>
    <col min="3" max="3" width="22.85546875" bestFit="1" customWidth="1"/>
  </cols>
  <sheetData>
    <row r="3" spans="3:11" x14ac:dyDescent="0.25">
      <c r="D3" t="s">
        <v>1</v>
      </c>
      <c r="E3" t="s">
        <v>8</v>
      </c>
      <c r="F3" t="s">
        <v>45</v>
      </c>
      <c r="G3">
        <v>2024</v>
      </c>
      <c r="H3">
        <v>2025</v>
      </c>
    </row>
    <row r="5" spans="3:11" x14ac:dyDescent="0.25">
      <c r="C5" t="s">
        <v>77</v>
      </c>
      <c r="D5" s="3">
        <v>0.28799999999999998</v>
      </c>
      <c r="E5" s="3">
        <v>0.29099999999999998</v>
      </c>
      <c r="F5" s="3">
        <v>0.29099999999999998</v>
      </c>
      <c r="G5" s="3">
        <v>0.27</v>
      </c>
      <c r="H5" s="3">
        <v>0.29099999999999998</v>
      </c>
    </row>
    <row r="6" spans="3:11" x14ac:dyDescent="0.25">
      <c r="C6" t="s">
        <v>81</v>
      </c>
      <c r="D6">
        <v>49</v>
      </c>
      <c r="E6">
        <v>49</v>
      </c>
      <c r="F6">
        <v>50</v>
      </c>
      <c r="G6">
        <v>49</v>
      </c>
      <c r="H6">
        <v>50</v>
      </c>
    </row>
    <row r="7" spans="3:11" x14ac:dyDescent="0.25">
      <c r="C7" t="s">
        <v>78</v>
      </c>
      <c r="D7">
        <v>40.700000000000003</v>
      </c>
      <c r="E7">
        <v>40.299999999999997</v>
      </c>
      <c r="F7">
        <v>39.5</v>
      </c>
      <c r="G7">
        <v>40.700000000000003</v>
      </c>
      <c r="H7">
        <v>39.5</v>
      </c>
    </row>
    <row r="8" spans="3:11" x14ac:dyDescent="0.25">
      <c r="C8" t="s">
        <v>79</v>
      </c>
      <c r="D8">
        <v>85.8</v>
      </c>
      <c r="E8">
        <v>83.1</v>
      </c>
      <c r="F8">
        <v>84.2</v>
      </c>
      <c r="G8">
        <v>85.8</v>
      </c>
      <c r="H8">
        <v>84.2</v>
      </c>
    </row>
    <row r="9" spans="3:11" x14ac:dyDescent="0.25">
      <c r="C9" t="s">
        <v>80</v>
      </c>
      <c r="D9">
        <v>7.1</v>
      </c>
      <c r="E9">
        <v>6.5</v>
      </c>
      <c r="F9">
        <v>8.1</v>
      </c>
      <c r="G9">
        <v>28.3</v>
      </c>
      <c r="H9">
        <v>26.1</v>
      </c>
    </row>
    <row r="10" spans="3:11" x14ac:dyDescent="0.25">
      <c r="C10" t="s">
        <v>41</v>
      </c>
      <c r="D10">
        <v>6.1260000000000003</v>
      </c>
      <c r="E10">
        <v>5.4009999999999998</v>
      </c>
      <c r="F10">
        <v>6.7850000000000001</v>
      </c>
      <c r="G10">
        <v>24.265999999999998</v>
      </c>
      <c r="H10">
        <v>21.97</v>
      </c>
      <c r="K10" s="1"/>
    </row>
    <row r="11" spans="3:11" x14ac:dyDescent="0.25">
      <c r="C11" t="s">
        <v>44</v>
      </c>
      <c r="D11">
        <v>1.0109999999999999</v>
      </c>
      <c r="E11">
        <v>1.101</v>
      </c>
      <c r="F11">
        <v>1.272</v>
      </c>
      <c r="G11">
        <v>4.0049999999999999</v>
      </c>
      <c r="H11">
        <v>4.12</v>
      </c>
    </row>
    <row r="14" spans="3:11" x14ac:dyDescent="0.25">
      <c r="D14" t="s">
        <v>5</v>
      </c>
      <c r="E14" t="s">
        <v>8</v>
      </c>
      <c r="F14" t="s">
        <v>45</v>
      </c>
    </row>
    <row r="20" spans="3:6" x14ac:dyDescent="0.25">
      <c r="C20" t="s">
        <v>88</v>
      </c>
      <c r="D20">
        <v>48</v>
      </c>
      <c r="E20">
        <v>52</v>
      </c>
      <c r="F20">
        <v>54.7</v>
      </c>
    </row>
    <row r="21" spans="3:6" x14ac:dyDescent="0.25">
      <c r="C21" t="s">
        <v>41</v>
      </c>
      <c r="D21">
        <v>42.235999999999997</v>
      </c>
      <c r="E21">
        <v>44.851999999999997</v>
      </c>
      <c r="F21">
        <v>46.887999999999998</v>
      </c>
    </row>
    <row r="22" spans="3:6" x14ac:dyDescent="0.25">
      <c r="C22" t="s">
        <v>89</v>
      </c>
      <c r="D22">
        <v>2.2189999999999999</v>
      </c>
      <c r="E22">
        <v>2.9129999999999998</v>
      </c>
      <c r="F22">
        <v>3.258</v>
      </c>
    </row>
    <row r="23" spans="3:6" x14ac:dyDescent="0.25">
      <c r="C23" t="s">
        <v>44</v>
      </c>
      <c r="D23">
        <v>3.548</v>
      </c>
      <c r="E23">
        <v>4.2619999999999996</v>
      </c>
      <c r="F23">
        <v>4.5579999999999998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EED7-F350-4CDE-A045-FE6552F7C104}">
  <dimension ref="C3:I15"/>
  <sheetViews>
    <sheetView workbookViewId="0">
      <selection activeCell="I14" sqref="I14"/>
    </sheetView>
  </sheetViews>
  <sheetFormatPr defaultRowHeight="15" x14ac:dyDescent="0.25"/>
  <sheetData>
    <row r="3" spans="3:9" x14ac:dyDescent="0.25">
      <c r="D3" t="s">
        <v>5</v>
      </c>
      <c r="E3" t="s">
        <v>8</v>
      </c>
      <c r="F3" t="s">
        <v>45</v>
      </c>
      <c r="G3">
        <v>2024</v>
      </c>
      <c r="H3">
        <v>2025</v>
      </c>
    </row>
    <row r="8" spans="3:9" x14ac:dyDescent="0.25">
      <c r="C8" t="s">
        <v>11</v>
      </c>
      <c r="D8">
        <v>420</v>
      </c>
      <c r="E8">
        <v>354</v>
      </c>
      <c r="F8">
        <v>418</v>
      </c>
      <c r="G8">
        <v>1672</v>
      </c>
      <c r="H8">
        <v>1452</v>
      </c>
      <c r="I8" s="1"/>
    </row>
    <row r="11" spans="3:9" x14ac:dyDescent="0.25">
      <c r="D11" t="s">
        <v>5</v>
      </c>
      <c r="E11" t="s">
        <v>8</v>
      </c>
      <c r="F11" t="s">
        <v>45</v>
      </c>
    </row>
    <row r="14" spans="3:9" x14ac:dyDescent="0.25">
      <c r="C14" t="s">
        <v>19</v>
      </c>
    </row>
    <row r="15" spans="3:9" x14ac:dyDescent="0.25">
      <c r="C15" t="s">
        <v>11</v>
      </c>
      <c r="D15">
        <v>4761</v>
      </c>
      <c r="E15">
        <v>4829</v>
      </c>
      <c r="F15">
        <v>5230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F8FE-482E-42AC-8EA5-92878DC598D2}">
  <dimension ref="B3:E15"/>
  <sheetViews>
    <sheetView workbookViewId="0">
      <selection activeCell="C3" sqref="C3"/>
    </sheetView>
  </sheetViews>
  <sheetFormatPr defaultRowHeight="15" x14ac:dyDescent="0.25"/>
  <cols>
    <col min="2" max="2" width="25.28515625" bestFit="1" customWidth="1"/>
  </cols>
  <sheetData>
    <row r="3" spans="2:5" x14ac:dyDescent="0.25">
      <c r="C3" t="s">
        <v>5</v>
      </c>
      <c r="D3" t="s">
        <v>8</v>
      </c>
      <c r="E3" t="s">
        <v>45</v>
      </c>
    </row>
    <row r="5" spans="2:5" x14ac:dyDescent="0.25">
      <c r="B5" t="s">
        <v>43</v>
      </c>
      <c r="C5">
        <v>35.5</v>
      </c>
      <c r="D5">
        <v>41.9</v>
      </c>
      <c r="E5">
        <v>42.6</v>
      </c>
    </row>
    <row r="6" spans="2:5" x14ac:dyDescent="0.25">
      <c r="B6" t="s">
        <v>82</v>
      </c>
      <c r="C6">
        <v>34.799999999999997</v>
      </c>
      <c r="D6">
        <v>30.4</v>
      </c>
      <c r="E6">
        <v>34.799999999999997</v>
      </c>
    </row>
    <row r="10" spans="2:5" x14ac:dyDescent="0.25">
      <c r="B10" t="s">
        <v>83</v>
      </c>
      <c r="C10">
        <v>4.3</v>
      </c>
      <c r="D10">
        <v>3.6</v>
      </c>
      <c r="E10">
        <v>3.9</v>
      </c>
    </row>
    <row r="11" spans="2:5" x14ac:dyDescent="0.25">
      <c r="B11" t="s">
        <v>84</v>
      </c>
      <c r="C11">
        <v>9.5</v>
      </c>
      <c r="D11">
        <v>8.8000000000000007</v>
      </c>
      <c r="E11">
        <v>7.4</v>
      </c>
    </row>
    <row r="12" spans="2:5" x14ac:dyDescent="0.25">
      <c r="B12" t="s">
        <v>42</v>
      </c>
      <c r="C12">
        <v>0.7</v>
      </c>
      <c r="D12">
        <v>0</v>
      </c>
      <c r="E12">
        <v>0</v>
      </c>
    </row>
    <row r="13" spans="2:5" x14ac:dyDescent="0.25">
      <c r="B13" t="s">
        <v>85</v>
      </c>
      <c r="C13">
        <v>7.7</v>
      </c>
      <c r="D13">
        <v>5.5</v>
      </c>
      <c r="E13">
        <v>4.4000000000000004</v>
      </c>
    </row>
    <row r="14" spans="2:5" x14ac:dyDescent="0.25">
      <c r="B14" t="s">
        <v>86</v>
      </c>
      <c r="C14">
        <v>5.9</v>
      </c>
      <c r="D14">
        <v>1.5</v>
      </c>
      <c r="E14">
        <v>1.4</v>
      </c>
    </row>
    <row r="15" spans="2:5" x14ac:dyDescent="0.25">
      <c r="B15" t="s">
        <v>87</v>
      </c>
      <c r="C15">
        <v>3.2</v>
      </c>
      <c r="D15">
        <v>4</v>
      </c>
      <c r="E15">
        <v>4.0999999999999996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5542-FD2E-4118-938C-50CACA7D889D}">
  <dimension ref="C3:G21"/>
  <sheetViews>
    <sheetView workbookViewId="0">
      <selection activeCell="F14" sqref="F14"/>
    </sheetView>
  </sheetViews>
  <sheetFormatPr defaultRowHeight="15" x14ac:dyDescent="0.25"/>
  <sheetData>
    <row r="3" spans="3:5" x14ac:dyDescent="0.25">
      <c r="C3" t="s">
        <v>5</v>
      </c>
      <c r="D3" t="s">
        <v>8</v>
      </c>
      <c r="E3" t="s">
        <v>45</v>
      </c>
    </row>
    <row r="18" spans="3:7" x14ac:dyDescent="0.25">
      <c r="C18" s="3">
        <v>0.128</v>
      </c>
      <c r="D18" s="3">
        <v>0.13100000000000001</v>
      </c>
      <c r="E18" s="3">
        <v>0.128</v>
      </c>
    </row>
    <row r="19" spans="3:7" x14ac:dyDescent="0.25">
      <c r="C19" s="3">
        <v>1.7000000000000001E-2</v>
      </c>
      <c r="D19" s="3">
        <v>2.4E-2</v>
      </c>
      <c r="E19" s="3">
        <v>2.5000000000000001E-2</v>
      </c>
    </row>
    <row r="20" spans="3:7" x14ac:dyDescent="0.25">
      <c r="C20" s="3">
        <v>1.4999999999999999E-2</v>
      </c>
      <c r="D20" s="3">
        <v>1.4E-2</v>
      </c>
      <c r="E20" s="3">
        <v>1.4999999999999999E-2</v>
      </c>
    </row>
    <row r="21" spans="3:7" x14ac:dyDescent="0.25">
      <c r="C21" s="3">
        <v>0.16</v>
      </c>
      <c r="D21" s="3">
        <v>0.17</v>
      </c>
      <c r="E21" s="3">
        <v>0.16699999999999998</v>
      </c>
      <c r="F21" s="13">
        <v>-0.3</v>
      </c>
      <c r="G21" s="3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M16" sqref="M16"/>
    </sheetView>
  </sheetViews>
  <sheetFormatPr defaultRowHeight="15" x14ac:dyDescent="0.25"/>
  <sheetData>
    <row r="7" spans="2:16" x14ac:dyDescent="0.25">
      <c r="B7" t="s">
        <v>11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12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13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14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2">
        <v>42339</v>
      </c>
      <c r="D11" s="12">
        <v>42705</v>
      </c>
      <c r="E11" s="12">
        <v>43070</v>
      </c>
      <c r="F11" s="12">
        <v>43435</v>
      </c>
      <c r="G11" s="12">
        <v>43800</v>
      </c>
      <c r="H11" s="12">
        <v>44166</v>
      </c>
      <c r="I11" s="12">
        <v>44531</v>
      </c>
      <c r="J11" s="12">
        <v>44896</v>
      </c>
      <c r="K11" s="12">
        <v>45261</v>
      </c>
      <c r="L11" s="12">
        <v>45627</v>
      </c>
      <c r="M11" s="12">
        <v>45717</v>
      </c>
      <c r="N11" s="12">
        <v>45809</v>
      </c>
      <c r="O11" s="12">
        <v>45901</v>
      </c>
      <c r="P11" s="12">
        <v>45992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3:H10"/>
  <sheetViews>
    <sheetView workbookViewId="0">
      <selection activeCell="D5" sqref="D5"/>
    </sheetView>
  </sheetViews>
  <sheetFormatPr defaultRowHeight="15" x14ac:dyDescent="0.25"/>
  <cols>
    <col min="3" max="3" width="19" bestFit="1" customWidth="1"/>
    <col min="7" max="8" width="9.7109375" bestFit="1" customWidth="1"/>
  </cols>
  <sheetData>
    <row r="3" spans="3:8" x14ac:dyDescent="0.25">
      <c r="D3" t="s">
        <v>4</v>
      </c>
      <c r="E3" t="s">
        <v>7</v>
      </c>
      <c r="F3" t="s">
        <v>8</v>
      </c>
    </row>
    <row r="4" spans="3:8" x14ac:dyDescent="0.25">
      <c r="G4" t="s">
        <v>20</v>
      </c>
      <c r="H4" t="s">
        <v>21</v>
      </c>
    </row>
    <row r="5" spans="3:8" x14ac:dyDescent="0.25">
      <c r="C5" t="s">
        <v>15</v>
      </c>
      <c r="D5">
        <v>169</v>
      </c>
      <c r="E5">
        <v>93</v>
      </c>
      <c r="F5">
        <v>74</v>
      </c>
      <c r="G5" s="3">
        <v>-0.20499999999999999</v>
      </c>
      <c r="H5" s="3">
        <v>-0.56299999999999994</v>
      </c>
    </row>
    <row r="6" spans="3:8" x14ac:dyDescent="0.25">
      <c r="C6" t="s">
        <v>16</v>
      </c>
      <c r="D6">
        <v>4167</v>
      </c>
      <c r="E6">
        <v>3795</v>
      </c>
      <c r="F6">
        <v>3731</v>
      </c>
      <c r="G6" s="3">
        <v>-1.7000000000000001E-2</v>
      </c>
      <c r="H6" s="3">
        <v>0.105</v>
      </c>
    </row>
    <row r="7" spans="3:8" x14ac:dyDescent="0.25">
      <c r="C7" t="s">
        <v>17</v>
      </c>
      <c r="D7">
        <v>513</v>
      </c>
      <c r="E7">
        <v>395</v>
      </c>
      <c r="F7">
        <v>333</v>
      </c>
      <c r="G7" s="3">
        <v>0.157</v>
      </c>
      <c r="H7" s="3">
        <v>-0.35099999999999998</v>
      </c>
    </row>
    <row r="8" spans="3:8" x14ac:dyDescent="0.25">
      <c r="C8" t="s">
        <v>18</v>
      </c>
      <c r="D8">
        <v>4032</v>
      </c>
      <c r="E8">
        <v>4797</v>
      </c>
      <c r="F8">
        <v>5262</v>
      </c>
      <c r="G8" s="3">
        <v>9.7000000000000003E-2</v>
      </c>
      <c r="H8" s="3">
        <v>0.30499999999999999</v>
      </c>
    </row>
    <row r="9" spans="3:8" x14ac:dyDescent="0.25">
      <c r="C9" t="s">
        <v>11</v>
      </c>
      <c r="D9">
        <v>8881</v>
      </c>
      <c r="E9">
        <v>9080</v>
      </c>
      <c r="F9">
        <v>9400</v>
      </c>
      <c r="G9" s="3">
        <v>3.5000000000000003E-2</v>
      </c>
      <c r="H9" s="3">
        <v>5.8000000000000003E-2</v>
      </c>
    </row>
    <row r="10" spans="3:8" x14ac:dyDescent="0.25">
      <c r="G10" s="3"/>
      <c r="H10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0</v>
      </c>
      <c r="X3" t="s">
        <v>1</v>
      </c>
      <c r="Y3" t="s">
        <v>2</v>
      </c>
      <c r="Z3" t="s">
        <v>3</v>
      </c>
      <c r="AA3" t="s">
        <v>4</v>
      </c>
      <c r="AB3" t="s">
        <v>5</v>
      </c>
      <c r="AC3" t="s">
        <v>6</v>
      </c>
      <c r="AD3" t="s">
        <v>7</v>
      </c>
      <c r="AE3" t="s">
        <v>8</v>
      </c>
      <c r="AJ3" t="s">
        <v>9</v>
      </c>
      <c r="AK3" t="s">
        <v>10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DRE Saida 2</vt:lpstr>
      <vt:lpstr>Tabelas</vt:lpstr>
      <vt:lpstr>Qualidade Cart 4966</vt:lpstr>
      <vt:lpstr>DRE Saida</vt:lpstr>
      <vt:lpstr>Pizza Teste</vt:lpstr>
      <vt:lpstr>Carteira</vt:lpstr>
      <vt:lpstr>Carteira Atac Setor</vt:lpstr>
      <vt:lpstr>Veículos</vt:lpstr>
      <vt:lpstr>Seguros e Cartões</vt:lpstr>
      <vt:lpstr>Captações</vt:lpstr>
      <vt:lpstr>Basiléia</vt:lpstr>
      <vt:lpstr>Qualidade Cart 2682</vt:lpstr>
      <vt:lpstr>Empréstimos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2026-04-08T18:13:57Z</dcterms:modified>
</cp:coreProperties>
</file>