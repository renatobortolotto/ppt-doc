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-22.04\home\renato\projetos\double-projects\ppt-doc\"/>
    </mc:Choice>
  </mc:AlternateContent>
  <xr:revisionPtr revIDLastSave="0" documentId="13_ncr:1_{7D71E57F-B5F8-49BD-A8BA-B7F4CCB6E954}" xr6:coauthVersionLast="47" xr6:coauthVersionMax="47" xr10:uidLastSave="{00000000-0000-0000-0000-000000000000}"/>
  <bookViews>
    <workbookView xWindow="-120" yWindow="-120" windowWidth="29040" windowHeight="15720" firstSheet="6" activeTab="7" xr2:uid="{E2EAAA9B-09FC-4773-92F8-622FD93420C8}"/>
  </bookViews>
  <sheets>
    <sheet name="DRE Saida 2" sheetId="18" r:id="rId1"/>
    <sheet name="Tabelas" sheetId="19" r:id="rId2"/>
    <sheet name="Qualidade Cart 4966" sheetId="20" r:id="rId3"/>
    <sheet name="DRE Saida" sheetId="1" r:id="rId4"/>
    <sheet name="Pizza Teste" sheetId="6" r:id="rId5"/>
    <sheet name="Carteira" sheetId="16" r:id="rId6"/>
    <sheet name="Veículos" sheetId="21" r:id="rId7"/>
    <sheet name="Seguros e Cartões" sheetId="24" r:id="rId8"/>
    <sheet name="Captações" sheetId="22" r:id="rId9"/>
    <sheet name="Basiléia" sheetId="23" r:id="rId10"/>
    <sheet name="Qualidade Cart 2682" sheetId="3" r:id="rId11"/>
    <sheet name="Empréstimos" sheetId="4" r:id="rId12"/>
    <sheet name="Margem Financeira" sheetId="2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2" i="6" l="1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D70" i="6"/>
  <c r="D71" i="6"/>
  <c r="D72" i="6"/>
  <c r="D73" i="6"/>
  <c r="D74" i="6"/>
  <c r="D75" i="6"/>
  <c r="D76" i="6"/>
  <c r="D77" i="6"/>
  <c r="D78" i="6"/>
  <c r="D79" i="6"/>
  <c r="D80" i="6"/>
  <c r="D81" i="6"/>
  <c r="D82" i="6"/>
  <c r="D83" i="6"/>
  <c r="D84" i="6"/>
  <c r="D85" i="6"/>
  <c r="D86" i="6"/>
  <c r="D87" i="6"/>
  <c r="D88" i="6"/>
  <c r="D89" i="6"/>
  <c r="D90" i="6"/>
  <c r="D91" i="6"/>
  <c r="D92" i="6"/>
  <c r="D93" i="6"/>
  <c r="D94" i="6"/>
  <c r="D95" i="6"/>
  <c r="D96" i="6"/>
  <c r="D97" i="6"/>
  <c r="D98" i="6"/>
  <c r="D99" i="6"/>
  <c r="D100" i="6"/>
  <c r="D101" i="6"/>
  <c r="D102" i="6"/>
  <c r="D103" i="6"/>
  <c r="D104" i="6"/>
  <c r="D105" i="6"/>
  <c r="D106" i="6"/>
  <c r="D107" i="6"/>
  <c r="D108" i="6"/>
  <c r="D109" i="6"/>
  <c r="D110" i="6"/>
  <c r="D111" i="6"/>
  <c r="D112" i="6"/>
  <c r="D113" i="6"/>
  <c r="D114" i="6"/>
  <c r="D115" i="6"/>
  <c r="D116" i="6"/>
  <c r="D117" i="6"/>
  <c r="D118" i="6"/>
  <c r="D119" i="6"/>
  <c r="D120" i="6"/>
  <c r="D121" i="6"/>
  <c r="D122" i="6"/>
  <c r="D123" i="6"/>
  <c r="D124" i="6"/>
  <c r="D125" i="6"/>
  <c r="D126" i="6"/>
  <c r="D127" i="6"/>
  <c r="D128" i="6"/>
  <c r="D129" i="6"/>
  <c r="D130" i="6"/>
  <c r="D131" i="6"/>
  <c r="D132" i="6"/>
  <c r="D133" i="6"/>
  <c r="D134" i="6"/>
  <c r="D135" i="6"/>
  <c r="D136" i="6"/>
  <c r="D137" i="6"/>
  <c r="D138" i="6"/>
  <c r="D139" i="6"/>
  <c r="D140" i="6"/>
  <c r="D141" i="6"/>
  <c r="D142" i="6"/>
  <c r="D143" i="6"/>
  <c r="D144" i="6"/>
  <c r="D145" i="6"/>
  <c r="D146" i="6"/>
  <c r="D147" i="6"/>
  <c r="D148" i="6"/>
  <c r="D149" i="6"/>
  <c r="D150" i="6"/>
  <c r="D151" i="6"/>
  <c r="D152" i="6"/>
  <c r="D153" i="6"/>
  <c r="D154" i="6"/>
  <c r="D155" i="6"/>
  <c r="D156" i="6"/>
  <c r="D157" i="6"/>
  <c r="D158" i="6"/>
  <c r="D159" i="6"/>
  <c r="D160" i="6"/>
  <c r="D161" i="6"/>
  <c r="D162" i="6"/>
  <c r="D163" i="6"/>
  <c r="D164" i="6"/>
  <c r="D165" i="6"/>
  <c r="D166" i="6"/>
  <c r="D167" i="6"/>
  <c r="D168" i="6"/>
  <c r="D169" i="6"/>
  <c r="D170" i="6"/>
  <c r="D171" i="6"/>
  <c r="D172" i="6"/>
  <c r="D173" i="6"/>
  <c r="D174" i="6"/>
  <c r="D175" i="6"/>
  <c r="D176" i="6"/>
  <c r="D177" i="6"/>
  <c r="D178" i="6"/>
  <c r="D179" i="6"/>
  <c r="D180" i="6"/>
  <c r="D181" i="6"/>
  <c r="D182" i="6"/>
  <c r="D183" i="6"/>
  <c r="D184" i="6"/>
  <c r="D185" i="6"/>
  <c r="D186" i="6"/>
  <c r="D187" i="6"/>
  <c r="D188" i="6"/>
  <c r="D189" i="6"/>
  <c r="D190" i="6"/>
  <c r="D191" i="6"/>
  <c r="D192" i="6"/>
  <c r="D193" i="6"/>
  <c r="D194" i="6"/>
  <c r="D195" i="6"/>
  <c r="D196" i="6"/>
  <c r="D197" i="6"/>
  <c r="D198" i="6"/>
  <c r="D199" i="6"/>
  <c r="D200" i="6"/>
  <c r="D201" i="6"/>
  <c r="D202" i="6"/>
  <c r="D203" i="6"/>
  <c r="D204" i="6"/>
  <c r="D205" i="6"/>
  <c r="D206" i="6"/>
  <c r="D207" i="6"/>
  <c r="D208" i="6"/>
  <c r="D209" i="6"/>
  <c r="D210" i="6"/>
  <c r="D211" i="6"/>
  <c r="D212" i="6"/>
  <c r="D213" i="6"/>
  <c r="D214" i="6"/>
  <c r="D215" i="6"/>
  <c r="D216" i="6"/>
  <c r="D217" i="6"/>
  <c r="D218" i="6"/>
  <c r="D219" i="6"/>
  <c r="D220" i="6"/>
  <c r="D221" i="6"/>
  <c r="D222" i="6"/>
  <c r="D223" i="6"/>
  <c r="D224" i="6"/>
  <c r="D225" i="6"/>
  <c r="D226" i="6"/>
  <c r="D227" i="6"/>
  <c r="D228" i="6"/>
  <c r="D229" i="6"/>
  <c r="D230" i="6"/>
  <c r="D231" i="6"/>
  <c r="D232" i="6"/>
  <c r="D233" i="6"/>
  <c r="D234" i="6"/>
  <c r="D235" i="6"/>
  <c r="D236" i="6"/>
  <c r="D237" i="6"/>
  <c r="D238" i="6"/>
  <c r="D239" i="6"/>
  <c r="D240" i="6"/>
  <c r="D241" i="6"/>
  <c r="D242" i="6"/>
  <c r="D243" i="6"/>
  <c r="D244" i="6"/>
  <c r="D245" i="6"/>
  <c r="D246" i="6"/>
  <c r="D247" i="6"/>
  <c r="D248" i="6"/>
  <c r="D249" i="6"/>
  <c r="D250" i="6"/>
  <c r="D251" i="6"/>
  <c r="D252" i="6"/>
  <c r="D253" i="6"/>
  <c r="D254" i="6"/>
  <c r="D255" i="6"/>
  <c r="D256" i="6"/>
  <c r="D257" i="6"/>
  <c r="D258" i="6"/>
  <c r="D259" i="6"/>
  <c r="D260" i="6"/>
  <c r="D261" i="6"/>
  <c r="D262" i="6"/>
  <c r="D263" i="6"/>
  <c r="D264" i="6"/>
  <c r="D265" i="6"/>
  <c r="D266" i="6"/>
  <c r="D267" i="6"/>
  <c r="D268" i="6"/>
  <c r="D269" i="6"/>
  <c r="D270" i="6"/>
  <c r="D271" i="6"/>
  <c r="D272" i="6"/>
  <c r="D273" i="6"/>
  <c r="D274" i="6"/>
  <c r="D275" i="6"/>
  <c r="D276" i="6"/>
  <c r="D277" i="6"/>
  <c r="D278" i="6"/>
  <c r="D279" i="6"/>
  <c r="D280" i="6"/>
  <c r="D281" i="6"/>
  <c r="D282" i="6"/>
  <c r="D283" i="6"/>
  <c r="D284" i="6"/>
  <c r="D285" i="6"/>
  <c r="D3" i="6"/>
  <c r="D4" i="6"/>
  <c r="D5" i="6"/>
  <c r="D6" i="6"/>
  <c r="D7" i="6"/>
  <c r="D8" i="6"/>
  <c r="D9" i="6"/>
  <c r="D10" i="6"/>
</calcChain>
</file>

<file path=xl/sharedStrings.xml><?xml version="1.0" encoding="utf-8"?>
<sst xmlns="http://schemas.openxmlformats.org/spreadsheetml/2006/main" count="182" uniqueCount="103">
  <si>
    <t>Labels</t>
  </si>
  <si>
    <t>3T23</t>
  </si>
  <si>
    <t>4T23</t>
  </si>
  <si>
    <t>1T24</t>
  </si>
  <si>
    <t>2T24</t>
  </si>
  <si>
    <t>3T24</t>
  </si>
  <si>
    <t>4T24</t>
  </si>
  <si>
    <t>1T25</t>
  </si>
  <si>
    <t>2T25</t>
  </si>
  <si>
    <t>3T25</t>
  </si>
  <si>
    <t>Lucro Liquido Recorrente</t>
  </si>
  <si>
    <t>9M24</t>
  </si>
  <si>
    <t>9M25</t>
  </si>
  <si>
    <t>teste feito</t>
  </si>
  <si>
    <t>teste 2 feito</t>
  </si>
  <si>
    <t>Total</t>
  </si>
  <si>
    <t>Varejo</t>
  </si>
  <si>
    <t>Veiculos</t>
  </si>
  <si>
    <t>Atacado</t>
  </si>
  <si>
    <t>Demais</t>
  </si>
  <si>
    <t>Placas Solares</t>
  </si>
  <si>
    <t>Consignado Privado</t>
  </si>
  <si>
    <t>EGV</t>
  </si>
  <si>
    <t>Cartoes</t>
  </si>
  <si>
    <t>3T25/2T25</t>
  </si>
  <si>
    <t>3T25/3T24</t>
  </si>
  <si>
    <t>9%</t>
  </si>
  <si>
    <t>9,4%</t>
  </si>
  <si>
    <t>10%</t>
  </si>
  <si>
    <t>11,1%</t>
  </si>
  <si>
    <t>15%</t>
  </si>
  <si>
    <t>16%</t>
  </si>
  <si>
    <t>15,1%</t>
  </si>
  <si>
    <t>12,1%</t>
  </si>
  <si>
    <t>15,4%</t>
  </si>
  <si>
    <t>Carteira de Crédito</t>
  </si>
  <si>
    <t>Veiculos Leves</t>
  </si>
  <si>
    <t>Growth</t>
  </si>
  <si>
    <t>Veiculos Leves Usados</t>
  </si>
  <si>
    <t>Corporate</t>
  </si>
  <si>
    <t>Large e Instituições Financeiras</t>
  </si>
  <si>
    <t>PME</t>
  </si>
  <si>
    <t>Cartões</t>
  </si>
  <si>
    <t>Painéis Solares</t>
  </si>
  <si>
    <t>Motos, Pesados e Novos</t>
  </si>
  <si>
    <t>Porcentagem</t>
  </si>
  <si>
    <t>Valor(bi)</t>
  </si>
  <si>
    <t>Receitas de Serviços</t>
  </si>
  <si>
    <t>Variacoes</t>
  </si>
  <si>
    <t>Destaques do Trimestre</t>
  </si>
  <si>
    <t>Receitas Totais</t>
  </si>
  <si>
    <t>Margem Financeira Bruta</t>
  </si>
  <si>
    <t>Custo de Crédito / Carteira de Crédito</t>
  </si>
  <si>
    <t>Paineis Solares</t>
  </si>
  <si>
    <t>Leves Usados</t>
  </si>
  <si>
    <t>FIDC</t>
  </si>
  <si>
    <t>Letras Financeiras</t>
  </si>
  <si>
    <t>Outros Veiculos</t>
  </si>
  <si>
    <t>4T25</t>
  </si>
  <si>
    <t>Veiculos Pesados</t>
  </si>
  <si>
    <t>Motos e Veiculos Novos</t>
  </si>
  <si>
    <t>Outros (FGTS + Saúde)</t>
  </si>
  <si>
    <t>segmento varejo</t>
  </si>
  <si>
    <t>Varejo - Produtos de Entrada</t>
  </si>
  <si>
    <t>Varelo Relacional</t>
  </si>
  <si>
    <t>Empréstimo com Garantia Vericular (EGV)</t>
  </si>
  <si>
    <t>Cartão de Crédito</t>
  </si>
  <si>
    <t>CP</t>
  </si>
  <si>
    <t>Segmento Atacado</t>
  </si>
  <si>
    <t>Large Corporate + Instituições Financeiras</t>
  </si>
  <si>
    <t>Pequenas e Médias Empresas</t>
  </si>
  <si>
    <t>Segmento Atacado Ampliado</t>
  </si>
  <si>
    <t>Avais e Fianças Prestados</t>
  </si>
  <si>
    <t>TVM privado</t>
  </si>
  <si>
    <t>Receita de Prestação de Serviços e Corretagem</t>
  </si>
  <si>
    <t>Margem Financeira Com Clientes</t>
  </si>
  <si>
    <t>Margem Financeira com Mercado</t>
  </si>
  <si>
    <t>Receitas de Corretagem e Seguro</t>
  </si>
  <si>
    <t>Receitas de Prestação de Servicos e Corretagem</t>
  </si>
  <si>
    <t>Receitas de Prestação de Serviços (exclui corretagem de seguros)</t>
  </si>
  <si>
    <t>Custo de Crédito</t>
  </si>
  <si>
    <t>Recuperação de Crédito Baixados Como Prejuízo</t>
  </si>
  <si>
    <t>Total ADM + Pessoa</t>
  </si>
  <si>
    <t>Depreciação e amortização</t>
  </si>
  <si>
    <t>Despesas ADM (ex deprec)</t>
  </si>
  <si>
    <t>Despesas de Pessoal</t>
  </si>
  <si>
    <t>Carteira de Crédito Ampliada</t>
  </si>
  <si>
    <t>corporate</t>
  </si>
  <si>
    <t>large + if</t>
  </si>
  <si>
    <t>total</t>
  </si>
  <si>
    <t>Taxa Média</t>
  </si>
  <si>
    <t>Valor Entrada</t>
  </si>
  <si>
    <t>Veiculos Uisados</t>
  </si>
  <si>
    <t>Producao Veiculos Total</t>
  </si>
  <si>
    <t>Prazo Médio</t>
  </si>
  <si>
    <t>Depósitos a prazo</t>
  </si>
  <si>
    <t>Títulos emitidos no exterior</t>
  </si>
  <si>
    <t>cessões de crédito</t>
  </si>
  <si>
    <t>empréstimos e repasses</t>
  </si>
  <si>
    <t>depósitos interfinanceiros</t>
  </si>
  <si>
    <t>instrumentos de capital</t>
  </si>
  <si>
    <t>Carteira de Veiculos</t>
  </si>
  <si>
    <t>Pesados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</si>
</sst>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.0%"/>
  </numFmts>
  <fonts count="5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z val="11"/>
      <color rgb="FFCE9178"/>
      <name val="Consolas"/>
      <family val="3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14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164" fontId="0" fillId="0" borderId="0" xfId="1" applyNumberFormat="1" applyFont="1"/>
    <xf numFmtId="9" fontId="0" fillId="0" borderId="0" xfId="0" applyNumberFormat="1"/>
    <xf numFmtId="10" fontId="0" fillId="0" borderId="0" xfId="0" applyNumberFormat="1"/>
    <xf numFmtId="49" fontId="0" fillId="0" borderId="0" xfId="0" applyNumberFormat="1"/>
    <xf numFmtId="10" fontId="0" fillId="0" borderId="0" xfId="1" applyNumberFormat="1" applyFont="1"/>
    <xf numFmtId="9" fontId="0" fillId="0" borderId="0" xfId="1" applyFont="1"/>
    <xf numFmtId="0" fontId="4" fillId="0" borderId="0" xfId="0" applyFont="1"/>
    <xf numFmtId="0" fontId="0" fillId="0" borderId="0" xfId="0" applyFont="1"/>
    <xf numFmtId="164" fontId="0" fillId="0" borderId="0" xfId="1" quotePrefix="1" applyNumberFormat="1" applyFont="1"/>
    <xf numFmtId="17" fontId="0" fillId="0" borderId="0" xfId="0" applyNumberFormat="1"/>
    <xf numFmtId="43" fontId="0" fillId="0" borderId="0" xfId="2" applyFont="1"/>
  </cellXfs>
  <cellStyles count="3">
    <cellStyle name="Normal" xfId="0" builtinId="0"/>
    <cellStyle name="Porcentagem" xfId="1" builtinId="5"/>
    <cellStyle name="Vírgula" xfId="2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D0A736-06AB-48E7-AFFE-0EC2903148F5}">
  <dimension ref="B3:N36"/>
  <sheetViews>
    <sheetView workbookViewId="0">
      <selection activeCell="H7" sqref="H7"/>
    </sheetView>
  </sheetViews>
  <sheetFormatPr defaultRowHeight="15" x14ac:dyDescent="0.25"/>
  <cols>
    <col min="3" max="3" width="42.7109375" bestFit="1" customWidth="1"/>
  </cols>
  <sheetData>
    <row r="3" spans="3:8" x14ac:dyDescent="0.25">
      <c r="D3" t="s">
        <v>6</v>
      </c>
      <c r="E3" t="s">
        <v>9</v>
      </c>
      <c r="F3" t="s">
        <v>58</v>
      </c>
      <c r="G3">
        <v>2024</v>
      </c>
      <c r="H3">
        <v>2025</v>
      </c>
    </row>
    <row r="4" spans="3:8" x14ac:dyDescent="0.25">
      <c r="C4" t="s">
        <v>50</v>
      </c>
      <c r="D4">
        <v>3214</v>
      </c>
      <c r="E4">
        <v>2919</v>
      </c>
      <c r="F4">
        <v>3136</v>
      </c>
      <c r="G4">
        <v>11980</v>
      </c>
      <c r="H4">
        <v>11913</v>
      </c>
    </row>
    <row r="5" spans="3:8" x14ac:dyDescent="0.25">
      <c r="C5" t="s">
        <v>51</v>
      </c>
      <c r="D5">
        <v>2519</v>
      </c>
      <c r="E5">
        <v>2295</v>
      </c>
      <c r="F5">
        <v>2304</v>
      </c>
      <c r="G5">
        <v>9301</v>
      </c>
      <c r="H5">
        <v>9283</v>
      </c>
    </row>
    <row r="6" spans="3:8" x14ac:dyDescent="0.25">
      <c r="C6" t="s">
        <v>75</v>
      </c>
      <c r="D6">
        <v>2367</v>
      </c>
      <c r="E6">
        <v>2051</v>
      </c>
      <c r="F6">
        <v>2131</v>
      </c>
      <c r="G6">
        <v>8353</v>
      </c>
      <c r="H6">
        <v>8317</v>
      </c>
    </row>
    <row r="7" spans="3:8" x14ac:dyDescent="0.25">
      <c r="C7" t="s">
        <v>76</v>
      </c>
      <c r="D7">
        <v>152</v>
      </c>
      <c r="E7">
        <v>244</v>
      </c>
      <c r="F7">
        <v>172</v>
      </c>
      <c r="G7">
        <v>947</v>
      </c>
      <c r="H7">
        <v>966</v>
      </c>
    </row>
    <row r="9" spans="3:8" x14ac:dyDescent="0.25">
      <c r="C9" t="s">
        <v>74</v>
      </c>
      <c r="D9">
        <v>695</v>
      </c>
      <c r="E9">
        <v>624</v>
      </c>
      <c r="F9">
        <v>832</v>
      </c>
      <c r="G9">
        <v>2679</v>
      </c>
      <c r="H9">
        <v>2630</v>
      </c>
    </row>
    <row r="18" spans="3:14" x14ac:dyDescent="0.25">
      <c r="N18" s="1"/>
    </row>
    <row r="20" spans="3:14" x14ac:dyDescent="0.25"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</row>
    <row r="21" spans="3:14" x14ac:dyDescent="0.25">
      <c r="L21" s="1"/>
    </row>
    <row r="25" spans="3:14" x14ac:dyDescent="0.25">
      <c r="C25" s="4"/>
      <c r="D25" s="5"/>
      <c r="E25" s="4"/>
      <c r="F25" s="5"/>
      <c r="G25" s="4"/>
      <c r="H25" s="4"/>
      <c r="I25" s="4"/>
      <c r="J25" s="5"/>
      <c r="K25" s="4"/>
      <c r="L25" s="5"/>
      <c r="M25" s="5"/>
    </row>
    <row r="35" spans="2:2" x14ac:dyDescent="0.25">
      <c r="B35" s="2"/>
    </row>
    <row r="36" spans="2:2" x14ac:dyDescent="0.25">
      <c r="B36" s="2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B3A40-3823-4B44-8654-968315449624}">
  <dimension ref="C2:K47"/>
  <sheetViews>
    <sheetView topLeftCell="A25" workbookViewId="0">
      <selection activeCell="O26" sqref="O26:T28"/>
    </sheetView>
  </sheetViews>
  <sheetFormatPr defaultRowHeight="15" x14ac:dyDescent="0.25"/>
  <cols>
    <col min="3" max="3" width="59.7109375" bestFit="1" customWidth="1"/>
  </cols>
  <sheetData>
    <row r="2" spans="3:11" x14ac:dyDescent="0.25">
      <c r="C2" t="s">
        <v>80</v>
      </c>
      <c r="D2" t="s">
        <v>6</v>
      </c>
      <c r="E2" t="s">
        <v>9</v>
      </c>
      <c r="F2" t="s">
        <v>58</v>
      </c>
      <c r="G2">
        <v>2024</v>
      </c>
      <c r="H2">
        <v>2025</v>
      </c>
    </row>
    <row r="5" spans="3:11" x14ac:dyDescent="0.25">
      <c r="C5" t="s">
        <v>81</v>
      </c>
      <c r="D5">
        <v>187</v>
      </c>
      <c r="E5">
        <v>92</v>
      </c>
      <c r="F5">
        <v>201</v>
      </c>
      <c r="G5">
        <v>645</v>
      </c>
      <c r="H5">
        <v>702</v>
      </c>
      <c r="I5">
        <v>118.2</v>
      </c>
      <c r="J5">
        <v>7.5</v>
      </c>
      <c r="K5">
        <v>8.9</v>
      </c>
    </row>
    <row r="9" spans="3:11" x14ac:dyDescent="0.25">
      <c r="C9" t="s">
        <v>80</v>
      </c>
      <c r="D9">
        <v>776</v>
      </c>
      <c r="E9">
        <v>880</v>
      </c>
      <c r="F9">
        <v>1029</v>
      </c>
      <c r="G9">
        <v>3593</v>
      </c>
      <c r="H9">
        <v>3698</v>
      </c>
      <c r="I9">
        <v>16.8</v>
      </c>
      <c r="J9">
        <v>32.6</v>
      </c>
      <c r="K9">
        <v>2.9</v>
      </c>
    </row>
    <row r="10" spans="3:11" x14ac:dyDescent="0.25">
      <c r="C10" t="s">
        <v>52</v>
      </c>
      <c r="D10" s="3">
        <v>3.4000000000000002E-2</v>
      </c>
      <c r="E10" s="3">
        <v>3.7999999999999999E-2</v>
      </c>
      <c r="F10" s="3">
        <v>4.2999999999999997E-2</v>
      </c>
      <c r="G10" s="3">
        <v>4.2000000000000003E-2</v>
      </c>
      <c r="H10" s="3">
        <v>3.9E-2</v>
      </c>
      <c r="I10" s="3"/>
      <c r="J10" s="3"/>
      <c r="K10" s="11"/>
    </row>
    <row r="13" spans="3:11" x14ac:dyDescent="0.25">
      <c r="D13">
        <v>963</v>
      </c>
      <c r="E13">
        <v>972</v>
      </c>
      <c r="F13">
        <v>1230</v>
      </c>
      <c r="G13">
        <v>4238</v>
      </c>
      <c r="H13">
        <v>4400</v>
      </c>
      <c r="I13">
        <v>26.5</v>
      </c>
      <c r="J13">
        <v>27.7</v>
      </c>
      <c r="K13">
        <v>3.8</v>
      </c>
    </row>
    <row r="16" spans="3:11" x14ac:dyDescent="0.25">
      <c r="D16" t="s">
        <v>6</v>
      </c>
      <c r="E16" t="s">
        <v>9</v>
      </c>
      <c r="F16" t="s">
        <v>58</v>
      </c>
      <c r="G16">
        <v>2024</v>
      </c>
      <c r="H16">
        <v>2025</v>
      </c>
    </row>
    <row r="17" spans="3:8" x14ac:dyDescent="0.25">
      <c r="H17" s="10"/>
    </row>
    <row r="19" spans="3:8" x14ac:dyDescent="0.25">
      <c r="C19" t="s">
        <v>77</v>
      </c>
      <c r="D19">
        <v>239</v>
      </c>
      <c r="E19">
        <v>205</v>
      </c>
      <c r="F19">
        <v>290</v>
      </c>
      <c r="G19">
        <v>932</v>
      </c>
      <c r="H19">
        <v>875</v>
      </c>
    </row>
    <row r="26" spans="3:8" x14ac:dyDescent="0.25">
      <c r="C26" t="s">
        <v>78</v>
      </c>
      <c r="D26">
        <v>695</v>
      </c>
      <c r="E26">
        <v>624</v>
      </c>
      <c r="F26">
        <v>832</v>
      </c>
      <c r="G26">
        <v>2679</v>
      </c>
      <c r="H26">
        <v>2630</v>
      </c>
    </row>
    <row r="28" spans="3:8" x14ac:dyDescent="0.25">
      <c r="C28" t="s">
        <v>79</v>
      </c>
      <c r="D28">
        <v>457</v>
      </c>
      <c r="E28">
        <v>419</v>
      </c>
      <c r="F28">
        <v>542</v>
      </c>
      <c r="G28">
        <v>1748</v>
      </c>
      <c r="H28">
        <v>1755</v>
      </c>
    </row>
    <row r="31" spans="3:8" x14ac:dyDescent="0.25">
      <c r="F31" s="10"/>
    </row>
    <row r="33" spans="3:11" x14ac:dyDescent="0.25">
      <c r="D33" t="s">
        <v>6</v>
      </c>
      <c r="E33" t="s">
        <v>9</v>
      </c>
      <c r="F33" t="s">
        <v>58</v>
      </c>
      <c r="G33">
        <v>2024</v>
      </c>
      <c r="H33">
        <v>2025</v>
      </c>
    </row>
    <row r="35" spans="3:11" x14ac:dyDescent="0.25">
      <c r="C35" t="s">
        <v>85</v>
      </c>
      <c r="D35">
        <v>520</v>
      </c>
      <c r="E35">
        <v>494</v>
      </c>
      <c r="F35">
        <v>529</v>
      </c>
      <c r="G35">
        <v>1837</v>
      </c>
      <c r="H35">
        <v>1940</v>
      </c>
    </row>
    <row r="39" spans="3:11" x14ac:dyDescent="0.25">
      <c r="C39" t="s">
        <v>84</v>
      </c>
      <c r="D39">
        <v>398</v>
      </c>
      <c r="E39">
        <v>311</v>
      </c>
      <c r="F39">
        <v>400</v>
      </c>
      <c r="G39">
        <v>1379</v>
      </c>
      <c r="H39">
        <v>1397</v>
      </c>
    </row>
    <row r="45" spans="3:11" x14ac:dyDescent="0.25">
      <c r="C45" t="s">
        <v>83</v>
      </c>
      <c r="D45">
        <v>98</v>
      </c>
      <c r="E45">
        <v>113</v>
      </c>
      <c r="F45">
        <v>143</v>
      </c>
      <c r="G45">
        <v>407</v>
      </c>
      <c r="H45">
        <v>475</v>
      </c>
      <c r="I45">
        <v>25.9</v>
      </c>
      <c r="J45">
        <v>46.1</v>
      </c>
      <c r="K45">
        <v>16.8</v>
      </c>
    </row>
    <row r="47" spans="3:11" x14ac:dyDescent="0.25">
      <c r="C47" t="s">
        <v>82</v>
      </c>
      <c r="D47">
        <v>1015</v>
      </c>
      <c r="E47">
        <v>919</v>
      </c>
      <c r="F47">
        <v>1072</v>
      </c>
      <c r="G47">
        <v>3623</v>
      </c>
      <c r="H47">
        <v>2812</v>
      </c>
      <c r="I47">
        <v>16.7</v>
      </c>
      <c r="J47">
        <v>5.6</v>
      </c>
      <c r="K47">
        <v>5.2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8E16C-7218-4DFD-AF0C-6AD115ACF99C}">
  <dimension ref="D2:F17"/>
  <sheetViews>
    <sheetView workbookViewId="0">
      <selection activeCell="L18" sqref="L18"/>
    </sheetView>
  </sheetViews>
  <sheetFormatPr defaultRowHeight="15" x14ac:dyDescent="0.25"/>
  <sheetData>
    <row r="2" spans="4:6" x14ac:dyDescent="0.25">
      <c r="D2" t="s">
        <v>6</v>
      </c>
      <c r="E2" t="s">
        <v>9</v>
      </c>
      <c r="F2" t="s">
        <v>58</v>
      </c>
    </row>
    <row r="17" spans="4:6" x14ac:dyDescent="0.25">
      <c r="D17" s="8">
        <v>1.68</v>
      </c>
      <c r="E17" s="8">
        <v>1.78</v>
      </c>
      <c r="F17" s="8">
        <v>1.69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E299C-E79D-4FD4-B55D-DB1E7B3327CE}">
  <dimension ref="B3:N36"/>
  <sheetViews>
    <sheetView topLeftCell="A4" workbookViewId="0">
      <selection activeCell="H17" sqref="H17"/>
    </sheetView>
  </sheetViews>
  <sheetFormatPr defaultRowHeight="15" x14ac:dyDescent="0.25"/>
  <sheetData>
    <row r="3" spans="2:13" x14ac:dyDescent="0.25">
      <c r="B3" t="s">
        <v>0</v>
      </c>
      <c r="C3" t="s">
        <v>1</v>
      </c>
      <c r="D3" t="s">
        <v>2</v>
      </c>
      <c r="E3" t="s">
        <v>3</v>
      </c>
      <c r="F3" t="s">
        <v>4</v>
      </c>
      <c r="G3" t="s">
        <v>5</v>
      </c>
      <c r="H3" t="s">
        <v>6</v>
      </c>
      <c r="I3" t="s">
        <v>7</v>
      </c>
      <c r="J3" t="s">
        <v>8</v>
      </c>
      <c r="K3" t="s">
        <v>9</v>
      </c>
      <c r="L3" t="s">
        <v>11</v>
      </c>
      <c r="M3" t="s">
        <v>12</v>
      </c>
    </row>
    <row r="18" spans="2:14" x14ac:dyDescent="0.25">
      <c r="B18" t="s">
        <v>10</v>
      </c>
      <c r="C18">
        <v>285</v>
      </c>
      <c r="D18">
        <v>302</v>
      </c>
      <c r="E18">
        <v>321</v>
      </c>
      <c r="F18">
        <v>363</v>
      </c>
      <c r="G18">
        <v>496</v>
      </c>
      <c r="H18">
        <v>542</v>
      </c>
      <c r="I18">
        <v>480</v>
      </c>
      <c r="J18">
        <v>459</v>
      </c>
      <c r="K18">
        <v>461</v>
      </c>
      <c r="L18">
        <v>1180</v>
      </c>
      <c r="M18">
        <v>1400</v>
      </c>
      <c r="N18" s="1"/>
    </row>
    <row r="20" spans="2:14" x14ac:dyDescent="0.25">
      <c r="C20" s="6" t="s">
        <v>26</v>
      </c>
      <c r="D20" s="6" t="s">
        <v>27</v>
      </c>
      <c r="E20" s="6" t="s">
        <v>28</v>
      </c>
      <c r="F20" s="6" t="s">
        <v>29</v>
      </c>
      <c r="G20" s="6" t="s">
        <v>30</v>
      </c>
      <c r="H20" s="6" t="s">
        <v>31</v>
      </c>
      <c r="I20" s="6" t="s">
        <v>31</v>
      </c>
      <c r="J20" s="6" t="s">
        <v>32</v>
      </c>
      <c r="K20" s="6" t="s">
        <v>30</v>
      </c>
      <c r="L20" s="6" t="s">
        <v>33</v>
      </c>
      <c r="M20" s="6" t="s">
        <v>34</v>
      </c>
    </row>
    <row r="21" spans="2:14" x14ac:dyDescent="0.25">
      <c r="L21" s="1"/>
    </row>
    <row r="25" spans="2:14" x14ac:dyDescent="0.25">
      <c r="C25" s="4">
        <v>0.09</v>
      </c>
      <c r="D25" s="5">
        <v>9.4E-2</v>
      </c>
      <c r="E25" s="4">
        <v>0.1</v>
      </c>
      <c r="F25" s="5">
        <v>0.111</v>
      </c>
      <c r="G25" s="4">
        <v>0.15</v>
      </c>
      <c r="H25" s="4">
        <v>0.16</v>
      </c>
      <c r="I25" s="4">
        <v>0.16</v>
      </c>
      <c r="J25" s="5">
        <v>0.151</v>
      </c>
      <c r="K25" s="4">
        <v>0.15</v>
      </c>
      <c r="L25" s="5">
        <v>0.121</v>
      </c>
      <c r="M25" s="5">
        <v>0.154</v>
      </c>
    </row>
    <row r="35" spans="2:2" x14ac:dyDescent="0.25">
      <c r="B35" s="2" t="s">
        <v>13</v>
      </c>
    </row>
    <row r="36" spans="2:2" x14ac:dyDescent="0.25">
      <c r="B36" s="2" t="s">
        <v>14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452379-0FE0-41DB-BDE4-79B6F1D7D785}">
  <dimension ref="A1:N285"/>
  <sheetViews>
    <sheetView topLeftCell="A4" workbookViewId="0">
      <selection activeCell="O8" sqref="O8"/>
    </sheetView>
  </sheetViews>
  <sheetFormatPr defaultRowHeight="15" x14ac:dyDescent="0.25"/>
  <cols>
    <col min="1" max="1" width="13.85546875" bestFit="1" customWidth="1"/>
    <col min="2" max="2" width="29.28515625" bestFit="1" customWidth="1"/>
    <col min="4" max="4" width="12.5703125" style="5" bestFit="1" customWidth="1"/>
  </cols>
  <sheetData>
    <row r="1" spans="1:14" x14ac:dyDescent="0.25">
      <c r="B1" t="s">
        <v>35</v>
      </c>
      <c r="C1" t="s">
        <v>46</v>
      </c>
      <c r="D1" t="s">
        <v>45</v>
      </c>
      <c r="H1" t="s">
        <v>47</v>
      </c>
    </row>
    <row r="2" spans="1:14" x14ac:dyDescent="0.25">
      <c r="A2" t="s">
        <v>36</v>
      </c>
      <c r="B2" t="s">
        <v>38</v>
      </c>
      <c r="C2">
        <v>44.495999999999995</v>
      </c>
      <c r="D2" s="7">
        <f>C2/SUM($C$2:$C$1048576)</f>
        <v>0.47999999999999987</v>
      </c>
      <c r="N2" t="s">
        <v>48</v>
      </c>
    </row>
    <row r="3" spans="1:14" x14ac:dyDescent="0.25">
      <c r="A3" t="s">
        <v>18</v>
      </c>
      <c r="B3" t="s">
        <v>39</v>
      </c>
      <c r="C3">
        <v>13.904999999999998</v>
      </c>
      <c r="D3" s="7">
        <f t="shared" ref="D3:D66" si="0">C3/SUM($C$2:$C$1048576)</f>
        <v>0.14999999999999994</v>
      </c>
      <c r="H3" t="s">
        <v>5</v>
      </c>
      <c r="I3" t="s">
        <v>8</v>
      </c>
      <c r="J3" t="s">
        <v>9</v>
      </c>
      <c r="K3" t="s">
        <v>11</v>
      </c>
      <c r="L3" t="s">
        <v>12</v>
      </c>
      <c r="N3" s="3">
        <v>-0.13300000000000001</v>
      </c>
    </row>
    <row r="4" spans="1:14" x14ac:dyDescent="0.25">
      <c r="A4" t="s">
        <v>18</v>
      </c>
      <c r="B4" t="s">
        <v>40</v>
      </c>
      <c r="C4">
        <v>10.196999999999999</v>
      </c>
      <c r="D4" s="7">
        <f t="shared" si="0"/>
        <v>0.10999999999999997</v>
      </c>
      <c r="H4">
        <v>685</v>
      </c>
      <c r="I4">
        <v>556</v>
      </c>
      <c r="J4">
        <v>624</v>
      </c>
      <c r="K4">
        <v>1984</v>
      </c>
      <c r="L4">
        <v>1798</v>
      </c>
      <c r="N4" s="3">
        <v>0.16</v>
      </c>
    </row>
    <row r="5" spans="1:14" x14ac:dyDescent="0.25">
      <c r="A5" t="s">
        <v>37</v>
      </c>
      <c r="B5" t="s">
        <v>19</v>
      </c>
      <c r="C5">
        <v>0.92699999999999994</v>
      </c>
      <c r="D5" s="7">
        <f t="shared" si="0"/>
        <v>9.9999999999999967E-3</v>
      </c>
      <c r="N5" s="3">
        <v>-0.14699999999999999</v>
      </c>
    </row>
    <row r="6" spans="1:14" x14ac:dyDescent="0.25">
      <c r="A6" t="s">
        <v>37</v>
      </c>
      <c r="B6" t="s">
        <v>41</v>
      </c>
      <c r="C6">
        <v>2.7809999999999997</v>
      </c>
      <c r="D6" s="7">
        <f t="shared" si="0"/>
        <v>2.9999999999999992E-2</v>
      </c>
    </row>
    <row r="7" spans="1:14" x14ac:dyDescent="0.25">
      <c r="A7" t="s">
        <v>37</v>
      </c>
      <c r="B7" t="s">
        <v>22</v>
      </c>
      <c r="C7">
        <v>4.6349999999999998</v>
      </c>
      <c r="D7" s="7">
        <f t="shared" si="0"/>
        <v>4.9999999999999989E-2</v>
      </c>
    </row>
    <row r="8" spans="1:14" x14ac:dyDescent="0.25">
      <c r="A8" t="s">
        <v>37</v>
      </c>
      <c r="B8" t="s">
        <v>42</v>
      </c>
      <c r="C8">
        <v>4.6349999999999998</v>
      </c>
      <c r="D8" s="7">
        <f t="shared" si="0"/>
        <v>4.9999999999999989E-2</v>
      </c>
    </row>
    <row r="9" spans="1:14" x14ac:dyDescent="0.25">
      <c r="A9" t="s">
        <v>37</v>
      </c>
      <c r="B9" t="s">
        <v>43</v>
      </c>
      <c r="C9">
        <v>3.7079999999999997</v>
      </c>
      <c r="D9" s="7">
        <f t="shared" si="0"/>
        <v>3.9999999999999987E-2</v>
      </c>
    </row>
    <row r="10" spans="1:14" x14ac:dyDescent="0.25">
      <c r="A10" t="s">
        <v>37</v>
      </c>
      <c r="B10" t="s">
        <v>44</v>
      </c>
      <c r="C10">
        <v>7.4159999999999995</v>
      </c>
      <c r="D10" s="7">
        <f t="shared" si="0"/>
        <v>7.9999999999999974E-2</v>
      </c>
      <c r="H10" t="s">
        <v>49</v>
      </c>
    </row>
    <row r="11" spans="1:14" x14ac:dyDescent="0.25">
      <c r="D11" s="7">
        <f t="shared" si="0"/>
        <v>0</v>
      </c>
    </row>
    <row r="12" spans="1:14" x14ac:dyDescent="0.25">
      <c r="D12" s="7">
        <f t="shared" si="0"/>
        <v>0</v>
      </c>
    </row>
    <row r="13" spans="1:14" x14ac:dyDescent="0.25">
      <c r="D13" s="7">
        <f t="shared" si="0"/>
        <v>0</v>
      </c>
    </row>
    <row r="14" spans="1:14" x14ac:dyDescent="0.25">
      <c r="D14" s="7">
        <f t="shared" si="0"/>
        <v>0</v>
      </c>
    </row>
    <row r="15" spans="1:14" x14ac:dyDescent="0.25">
      <c r="D15" s="7">
        <f t="shared" si="0"/>
        <v>0</v>
      </c>
    </row>
    <row r="16" spans="1:14" x14ac:dyDescent="0.25">
      <c r="D16" s="7">
        <f t="shared" si="0"/>
        <v>0</v>
      </c>
    </row>
    <row r="17" spans="4:4" x14ac:dyDescent="0.25">
      <c r="D17" s="7">
        <f t="shared" si="0"/>
        <v>0</v>
      </c>
    </row>
    <row r="18" spans="4:4" x14ac:dyDescent="0.25">
      <c r="D18" s="7">
        <f t="shared" si="0"/>
        <v>0</v>
      </c>
    </row>
    <row r="19" spans="4:4" x14ac:dyDescent="0.25">
      <c r="D19" s="7">
        <f t="shared" si="0"/>
        <v>0</v>
      </c>
    </row>
    <row r="20" spans="4:4" x14ac:dyDescent="0.25">
      <c r="D20" s="7">
        <f t="shared" si="0"/>
        <v>0</v>
      </c>
    </row>
    <row r="21" spans="4:4" x14ac:dyDescent="0.25">
      <c r="D21" s="7">
        <f t="shared" si="0"/>
        <v>0</v>
      </c>
    </row>
    <row r="22" spans="4:4" x14ac:dyDescent="0.25">
      <c r="D22" s="7">
        <f t="shared" si="0"/>
        <v>0</v>
      </c>
    </row>
    <row r="23" spans="4:4" x14ac:dyDescent="0.25">
      <c r="D23" s="7">
        <f t="shared" si="0"/>
        <v>0</v>
      </c>
    </row>
    <row r="24" spans="4:4" x14ac:dyDescent="0.25">
      <c r="D24" s="7">
        <f t="shared" si="0"/>
        <v>0</v>
      </c>
    </row>
    <row r="25" spans="4:4" x14ac:dyDescent="0.25">
      <c r="D25" s="7">
        <f t="shared" si="0"/>
        <v>0</v>
      </c>
    </row>
    <row r="26" spans="4:4" x14ac:dyDescent="0.25">
      <c r="D26" s="7">
        <f t="shared" si="0"/>
        <v>0</v>
      </c>
    </row>
    <row r="27" spans="4:4" x14ac:dyDescent="0.25">
      <c r="D27" s="7">
        <f t="shared" si="0"/>
        <v>0</v>
      </c>
    </row>
    <row r="28" spans="4:4" x14ac:dyDescent="0.25">
      <c r="D28" s="7">
        <f t="shared" si="0"/>
        <v>0</v>
      </c>
    </row>
    <row r="29" spans="4:4" x14ac:dyDescent="0.25">
      <c r="D29" s="7">
        <f t="shared" si="0"/>
        <v>0</v>
      </c>
    </row>
    <row r="30" spans="4:4" x14ac:dyDescent="0.25">
      <c r="D30" s="7">
        <f t="shared" si="0"/>
        <v>0</v>
      </c>
    </row>
    <row r="31" spans="4:4" x14ac:dyDescent="0.25">
      <c r="D31" s="7">
        <f t="shared" si="0"/>
        <v>0</v>
      </c>
    </row>
    <row r="32" spans="4:4" x14ac:dyDescent="0.25">
      <c r="D32" s="7">
        <f t="shared" si="0"/>
        <v>0</v>
      </c>
    </row>
    <row r="33" spans="4:4" x14ac:dyDescent="0.25">
      <c r="D33" s="7">
        <f t="shared" si="0"/>
        <v>0</v>
      </c>
    </row>
    <row r="34" spans="4:4" x14ac:dyDescent="0.25">
      <c r="D34" s="7">
        <f t="shared" si="0"/>
        <v>0</v>
      </c>
    </row>
    <row r="35" spans="4:4" x14ac:dyDescent="0.25">
      <c r="D35" s="7">
        <f t="shared" si="0"/>
        <v>0</v>
      </c>
    </row>
    <row r="36" spans="4:4" x14ac:dyDescent="0.25">
      <c r="D36" s="7">
        <f t="shared" si="0"/>
        <v>0</v>
      </c>
    </row>
    <row r="37" spans="4:4" x14ac:dyDescent="0.25">
      <c r="D37" s="7">
        <f t="shared" si="0"/>
        <v>0</v>
      </c>
    </row>
    <row r="38" spans="4:4" x14ac:dyDescent="0.25">
      <c r="D38" s="7">
        <f t="shared" si="0"/>
        <v>0</v>
      </c>
    </row>
    <row r="39" spans="4:4" x14ac:dyDescent="0.25">
      <c r="D39" s="7">
        <f t="shared" si="0"/>
        <v>0</v>
      </c>
    </row>
    <row r="40" spans="4:4" x14ac:dyDescent="0.25">
      <c r="D40" s="7">
        <f t="shared" si="0"/>
        <v>0</v>
      </c>
    </row>
    <row r="41" spans="4:4" x14ac:dyDescent="0.25">
      <c r="D41" s="7">
        <f t="shared" si="0"/>
        <v>0</v>
      </c>
    </row>
    <row r="42" spans="4:4" x14ac:dyDescent="0.25">
      <c r="D42" s="7">
        <f t="shared" si="0"/>
        <v>0</v>
      </c>
    </row>
    <row r="43" spans="4:4" x14ac:dyDescent="0.25">
      <c r="D43" s="7">
        <f t="shared" si="0"/>
        <v>0</v>
      </c>
    </row>
    <row r="44" spans="4:4" x14ac:dyDescent="0.25">
      <c r="D44" s="7">
        <f t="shared" si="0"/>
        <v>0</v>
      </c>
    </row>
    <row r="45" spans="4:4" x14ac:dyDescent="0.25">
      <c r="D45" s="7">
        <f t="shared" si="0"/>
        <v>0</v>
      </c>
    </row>
    <row r="46" spans="4:4" x14ac:dyDescent="0.25">
      <c r="D46" s="7">
        <f t="shared" si="0"/>
        <v>0</v>
      </c>
    </row>
    <row r="47" spans="4:4" x14ac:dyDescent="0.25">
      <c r="D47" s="7">
        <f t="shared" si="0"/>
        <v>0</v>
      </c>
    </row>
    <row r="48" spans="4:4" x14ac:dyDescent="0.25">
      <c r="D48" s="7">
        <f t="shared" si="0"/>
        <v>0</v>
      </c>
    </row>
    <row r="49" spans="4:4" x14ac:dyDescent="0.25">
      <c r="D49" s="7">
        <f t="shared" si="0"/>
        <v>0</v>
      </c>
    </row>
    <row r="50" spans="4:4" x14ac:dyDescent="0.25">
      <c r="D50" s="7">
        <f t="shared" si="0"/>
        <v>0</v>
      </c>
    </row>
    <row r="51" spans="4:4" x14ac:dyDescent="0.25">
      <c r="D51" s="7">
        <f t="shared" si="0"/>
        <v>0</v>
      </c>
    </row>
    <row r="52" spans="4:4" x14ac:dyDescent="0.25">
      <c r="D52" s="7">
        <f t="shared" si="0"/>
        <v>0</v>
      </c>
    </row>
    <row r="53" spans="4:4" x14ac:dyDescent="0.25">
      <c r="D53" s="7">
        <f t="shared" si="0"/>
        <v>0</v>
      </c>
    </row>
    <row r="54" spans="4:4" x14ac:dyDescent="0.25">
      <c r="D54" s="7">
        <f t="shared" si="0"/>
        <v>0</v>
      </c>
    </row>
    <row r="55" spans="4:4" x14ac:dyDescent="0.25">
      <c r="D55" s="7">
        <f t="shared" si="0"/>
        <v>0</v>
      </c>
    </row>
    <row r="56" spans="4:4" x14ac:dyDescent="0.25">
      <c r="D56" s="7">
        <f t="shared" si="0"/>
        <v>0</v>
      </c>
    </row>
    <row r="57" spans="4:4" x14ac:dyDescent="0.25">
      <c r="D57" s="7">
        <f t="shared" si="0"/>
        <v>0</v>
      </c>
    </row>
    <row r="58" spans="4:4" x14ac:dyDescent="0.25">
      <c r="D58" s="7">
        <f t="shared" si="0"/>
        <v>0</v>
      </c>
    </row>
    <row r="59" spans="4:4" x14ac:dyDescent="0.25">
      <c r="D59" s="7">
        <f t="shared" si="0"/>
        <v>0</v>
      </c>
    </row>
    <row r="60" spans="4:4" x14ac:dyDescent="0.25">
      <c r="D60" s="7">
        <f t="shared" si="0"/>
        <v>0</v>
      </c>
    </row>
    <row r="61" spans="4:4" x14ac:dyDescent="0.25">
      <c r="D61" s="7">
        <f t="shared" si="0"/>
        <v>0</v>
      </c>
    </row>
    <row r="62" spans="4:4" x14ac:dyDescent="0.25">
      <c r="D62" s="7">
        <f t="shared" si="0"/>
        <v>0</v>
      </c>
    </row>
    <row r="63" spans="4:4" x14ac:dyDescent="0.25">
      <c r="D63" s="7">
        <f t="shared" si="0"/>
        <v>0</v>
      </c>
    </row>
    <row r="64" spans="4:4" x14ac:dyDescent="0.25">
      <c r="D64" s="7">
        <f t="shared" si="0"/>
        <v>0</v>
      </c>
    </row>
    <row r="65" spans="4:4" x14ac:dyDescent="0.25">
      <c r="D65" s="7">
        <f t="shared" si="0"/>
        <v>0</v>
      </c>
    </row>
    <row r="66" spans="4:4" x14ac:dyDescent="0.25">
      <c r="D66" s="7">
        <f t="shared" si="0"/>
        <v>0</v>
      </c>
    </row>
    <row r="67" spans="4:4" x14ac:dyDescent="0.25">
      <c r="D67" s="7">
        <f t="shared" ref="D67:D130" si="1">C67/SUM($C$2:$C$1048576)</f>
        <v>0</v>
      </c>
    </row>
    <row r="68" spans="4:4" x14ac:dyDescent="0.25">
      <c r="D68" s="7">
        <f t="shared" si="1"/>
        <v>0</v>
      </c>
    </row>
    <row r="69" spans="4:4" x14ac:dyDescent="0.25">
      <c r="D69" s="7">
        <f t="shared" si="1"/>
        <v>0</v>
      </c>
    </row>
    <row r="70" spans="4:4" x14ac:dyDescent="0.25">
      <c r="D70" s="7">
        <f t="shared" si="1"/>
        <v>0</v>
      </c>
    </row>
    <row r="71" spans="4:4" x14ac:dyDescent="0.25">
      <c r="D71" s="7">
        <f t="shared" si="1"/>
        <v>0</v>
      </c>
    </row>
    <row r="72" spans="4:4" x14ac:dyDescent="0.25">
      <c r="D72" s="7">
        <f t="shared" si="1"/>
        <v>0</v>
      </c>
    </row>
    <row r="73" spans="4:4" x14ac:dyDescent="0.25">
      <c r="D73" s="7">
        <f t="shared" si="1"/>
        <v>0</v>
      </c>
    </row>
    <row r="74" spans="4:4" x14ac:dyDescent="0.25">
      <c r="D74" s="7">
        <f t="shared" si="1"/>
        <v>0</v>
      </c>
    </row>
    <row r="75" spans="4:4" x14ac:dyDescent="0.25">
      <c r="D75" s="7">
        <f t="shared" si="1"/>
        <v>0</v>
      </c>
    </row>
    <row r="76" spans="4:4" x14ac:dyDescent="0.25">
      <c r="D76" s="7">
        <f t="shared" si="1"/>
        <v>0</v>
      </c>
    </row>
    <row r="77" spans="4:4" x14ac:dyDescent="0.25">
      <c r="D77" s="7">
        <f t="shared" si="1"/>
        <v>0</v>
      </c>
    </row>
    <row r="78" spans="4:4" x14ac:dyDescent="0.25">
      <c r="D78" s="7">
        <f t="shared" si="1"/>
        <v>0</v>
      </c>
    </row>
    <row r="79" spans="4:4" x14ac:dyDescent="0.25">
      <c r="D79" s="7">
        <f t="shared" si="1"/>
        <v>0</v>
      </c>
    </row>
    <row r="80" spans="4:4" x14ac:dyDescent="0.25">
      <c r="D80" s="7">
        <f t="shared" si="1"/>
        <v>0</v>
      </c>
    </row>
    <row r="81" spans="4:4" x14ac:dyDescent="0.25">
      <c r="D81" s="7">
        <f t="shared" si="1"/>
        <v>0</v>
      </c>
    </row>
    <row r="82" spans="4:4" x14ac:dyDescent="0.25">
      <c r="D82" s="7">
        <f t="shared" si="1"/>
        <v>0</v>
      </c>
    </row>
    <row r="83" spans="4:4" x14ac:dyDescent="0.25">
      <c r="D83" s="7">
        <f t="shared" si="1"/>
        <v>0</v>
      </c>
    </row>
    <row r="84" spans="4:4" x14ac:dyDescent="0.25">
      <c r="D84" s="7">
        <f t="shared" si="1"/>
        <v>0</v>
      </c>
    </row>
    <row r="85" spans="4:4" x14ac:dyDescent="0.25">
      <c r="D85" s="7">
        <f t="shared" si="1"/>
        <v>0</v>
      </c>
    </row>
    <row r="86" spans="4:4" x14ac:dyDescent="0.25">
      <c r="D86" s="7">
        <f t="shared" si="1"/>
        <v>0</v>
      </c>
    </row>
    <row r="87" spans="4:4" x14ac:dyDescent="0.25">
      <c r="D87" s="7">
        <f t="shared" si="1"/>
        <v>0</v>
      </c>
    </row>
    <row r="88" spans="4:4" x14ac:dyDescent="0.25">
      <c r="D88" s="7">
        <f t="shared" si="1"/>
        <v>0</v>
      </c>
    </row>
    <row r="89" spans="4:4" x14ac:dyDescent="0.25">
      <c r="D89" s="7">
        <f t="shared" si="1"/>
        <v>0</v>
      </c>
    </row>
    <row r="90" spans="4:4" x14ac:dyDescent="0.25">
      <c r="D90" s="7">
        <f t="shared" si="1"/>
        <v>0</v>
      </c>
    </row>
    <row r="91" spans="4:4" x14ac:dyDescent="0.25">
      <c r="D91" s="7">
        <f t="shared" si="1"/>
        <v>0</v>
      </c>
    </row>
    <row r="92" spans="4:4" x14ac:dyDescent="0.25">
      <c r="D92" s="7">
        <f t="shared" si="1"/>
        <v>0</v>
      </c>
    </row>
    <row r="93" spans="4:4" x14ac:dyDescent="0.25">
      <c r="D93" s="7">
        <f t="shared" si="1"/>
        <v>0</v>
      </c>
    </row>
    <row r="94" spans="4:4" x14ac:dyDescent="0.25">
      <c r="D94" s="7">
        <f t="shared" si="1"/>
        <v>0</v>
      </c>
    </row>
    <row r="95" spans="4:4" x14ac:dyDescent="0.25">
      <c r="D95" s="7">
        <f t="shared" si="1"/>
        <v>0</v>
      </c>
    </row>
    <row r="96" spans="4:4" x14ac:dyDescent="0.25">
      <c r="D96" s="7">
        <f t="shared" si="1"/>
        <v>0</v>
      </c>
    </row>
    <row r="97" spans="4:4" x14ac:dyDescent="0.25">
      <c r="D97" s="7">
        <f t="shared" si="1"/>
        <v>0</v>
      </c>
    </row>
    <row r="98" spans="4:4" x14ac:dyDescent="0.25">
      <c r="D98" s="7">
        <f t="shared" si="1"/>
        <v>0</v>
      </c>
    </row>
    <row r="99" spans="4:4" x14ac:dyDescent="0.25">
      <c r="D99" s="7">
        <f t="shared" si="1"/>
        <v>0</v>
      </c>
    </row>
    <row r="100" spans="4:4" x14ac:dyDescent="0.25">
      <c r="D100" s="7">
        <f t="shared" si="1"/>
        <v>0</v>
      </c>
    </row>
    <row r="101" spans="4:4" x14ac:dyDescent="0.25">
      <c r="D101" s="7">
        <f t="shared" si="1"/>
        <v>0</v>
      </c>
    </row>
    <row r="102" spans="4:4" x14ac:dyDescent="0.25">
      <c r="D102" s="7">
        <f t="shared" si="1"/>
        <v>0</v>
      </c>
    </row>
    <row r="103" spans="4:4" x14ac:dyDescent="0.25">
      <c r="D103" s="7">
        <f t="shared" si="1"/>
        <v>0</v>
      </c>
    </row>
    <row r="104" spans="4:4" x14ac:dyDescent="0.25">
      <c r="D104" s="7">
        <f t="shared" si="1"/>
        <v>0</v>
      </c>
    </row>
    <row r="105" spans="4:4" x14ac:dyDescent="0.25">
      <c r="D105" s="7">
        <f t="shared" si="1"/>
        <v>0</v>
      </c>
    </row>
    <row r="106" spans="4:4" x14ac:dyDescent="0.25">
      <c r="D106" s="7">
        <f t="shared" si="1"/>
        <v>0</v>
      </c>
    </row>
    <row r="107" spans="4:4" x14ac:dyDescent="0.25">
      <c r="D107" s="7">
        <f t="shared" si="1"/>
        <v>0</v>
      </c>
    </row>
    <row r="108" spans="4:4" x14ac:dyDescent="0.25">
      <c r="D108" s="7">
        <f t="shared" si="1"/>
        <v>0</v>
      </c>
    </row>
    <row r="109" spans="4:4" x14ac:dyDescent="0.25">
      <c r="D109" s="7">
        <f t="shared" si="1"/>
        <v>0</v>
      </c>
    </row>
    <row r="110" spans="4:4" x14ac:dyDescent="0.25">
      <c r="D110" s="7">
        <f t="shared" si="1"/>
        <v>0</v>
      </c>
    </row>
    <row r="111" spans="4:4" x14ac:dyDescent="0.25">
      <c r="D111" s="7">
        <f t="shared" si="1"/>
        <v>0</v>
      </c>
    </row>
    <row r="112" spans="4:4" x14ac:dyDescent="0.25">
      <c r="D112" s="7">
        <f t="shared" si="1"/>
        <v>0</v>
      </c>
    </row>
    <row r="113" spans="4:4" x14ac:dyDescent="0.25">
      <c r="D113" s="7">
        <f t="shared" si="1"/>
        <v>0</v>
      </c>
    </row>
    <row r="114" spans="4:4" x14ac:dyDescent="0.25">
      <c r="D114" s="7">
        <f t="shared" si="1"/>
        <v>0</v>
      </c>
    </row>
    <row r="115" spans="4:4" x14ac:dyDescent="0.25">
      <c r="D115" s="7">
        <f t="shared" si="1"/>
        <v>0</v>
      </c>
    </row>
    <row r="116" spans="4:4" x14ac:dyDescent="0.25">
      <c r="D116" s="7">
        <f t="shared" si="1"/>
        <v>0</v>
      </c>
    </row>
    <row r="117" spans="4:4" x14ac:dyDescent="0.25">
      <c r="D117" s="7">
        <f t="shared" si="1"/>
        <v>0</v>
      </c>
    </row>
    <row r="118" spans="4:4" x14ac:dyDescent="0.25">
      <c r="D118" s="7">
        <f t="shared" si="1"/>
        <v>0</v>
      </c>
    </row>
    <row r="119" spans="4:4" x14ac:dyDescent="0.25">
      <c r="D119" s="7">
        <f t="shared" si="1"/>
        <v>0</v>
      </c>
    </row>
    <row r="120" spans="4:4" x14ac:dyDescent="0.25">
      <c r="D120" s="7">
        <f t="shared" si="1"/>
        <v>0</v>
      </c>
    </row>
    <row r="121" spans="4:4" x14ac:dyDescent="0.25">
      <c r="D121" s="7">
        <f t="shared" si="1"/>
        <v>0</v>
      </c>
    </row>
    <row r="122" spans="4:4" x14ac:dyDescent="0.25">
      <c r="D122" s="7">
        <f t="shared" si="1"/>
        <v>0</v>
      </c>
    </row>
    <row r="123" spans="4:4" x14ac:dyDescent="0.25">
      <c r="D123" s="7">
        <f t="shared" si="1"/>
        <v>0</v>
      </c>
    </row>
    <row r="124" spans="4:4" x14ac:dyDescent="0.25">
      <c r="D124" s="7">
        <f t="shared" si="1"/>
        <v>0</v>
      </c>
    </row>
    <row r="125" spans="4:4" x14ac:dyDescent="0.25">
      <c r="D125" s="7">
        <f t="shared" si="1"/>
        <v>0</v>
      </c>
    </row>
    <row r="126" spans="4:4" x14ac:dyDescent="0.25">
      <c r="D126" s="7">
        <f t="shared" si="1"/>
        <v>0</v>
      </c>
    </row>
    <row r="127" spans="4:4" x14ac:dyDescent="0.25">
      <c r="D127" s="7">
        <f t="shared" si="1"/>
        <v>0</v>
      </c>
    </row>
    <row r="128" spans="4:4" x14ac:dyDescent="0.25">
      <c r="D128" s="7">
        <f t="shared" si="1"/>
        <v>0</v>
      </c>
    </row>
    <row r="129" spans="4:4" x14ac:dyDescent="0.25">
      <c r="D129" s="7">
        <f t="shared" si="1"/>
        <v>0</v>
      </c>
    </row>
    <row r="130" spans="4:4" x14ac:dyDescent="0.25">
      <c r="D130" s="7">
        <f t="shared" si="1"/>
        <v>0</v>
      </c>
    </row>
    <row r="131" spans="4:4" x14ac:dyDescent="0.25">
      <c r="D131" s="7">
        <f t="shared" ref="D131:D194" si="2">C131/SUM($C$2:$C$1048576)</f>
        <v>0</v>
      </c>
    </row>
    <row r="132" spans="4:4" x14ac:dyDescent="0.25">
      <c r="D132" s="7">
        <f t="shared" si="2"/>
        <v>0</v>
      </c>
    </row>
    <row r="133" spans="4:4" x14ac:dyDescent="0.25">
      <c r="D133" s="7">
        <f t="shared" si="2"/>
        <v>0</v>
      </c>
    </row>
    <row r="134" spans="4:4" x14ac:dyDescent="0.25">
      <c r="D134" s="7">
        <f t="shared" si="2"/>
        <v>0</v>
      </c>
    </row>
    <row r="135" spans="4:4" x14ac:dyDescent="0.25">
      <c r="D135" s="7">
        <f t="shared" si="2"/>
        <v>0</v>
      </c>
    </row>
    <row r="136" spans="4:4" x14ac:dyDescent="0.25">
      <c r="D136" s="7">
        <f t="shared" si="2"/>
        <v>0</v>
      </c>
    </row>
    <row r="137" spans="4:4" x14ac:dyDescent="0.25">
      <c r="D137" s="7">
        <f t="shared" si="2"/>
        <v>0</v>
      </c>
    </row>
    <row r="138" spans="4:4" x14ac:dyDescent="0.25">
      <c r="D138" s="7">
        <f t="shared" si="2"/>
        <v>0</v>
      </c>
    </row>
    <row r="139" spans="4:4" x14ac:dyDescent="0.25">
      <c r="D139" s="7">
        <f t="shared" si="2"/>
        <v>0</v>
      </c>
    </row>
    <row r="140" spans="4:4" x14ac:dyDescent="0.25">
      <c r="D140" s="7">
        <f t="shared" si="2"/>
        <v>0</v>
      </c>
    </row>
    <row r="141" spans="4:4" x14ac:dyDescent="0.25">
      <c r="D141" s="7">
        <f t="shared" si="2"/>
        <v>0</v>
      </c>
    </row>
    <row r="142" spans="4:4" x14ac:dyDescent="0.25">
      <c r="D142" s="7">
        <f t="shared" si="2"/>
        <v>0</v>
      </c>
    </row>
    <row r="143" spans="4:4" x14ac:dyDescent="0.25">
      <c r="D143" s="7">
        <f t="shared" si="2"/>
        <v>0</v>
      </c>
    </row>
    <row r="144" spans="4:4" x14ac:dyDescent="0.25">
      <c r="D144" s="7">
        <f t="shared" si="2"/>
        <v>0</v>
      </c>
    </row>
    <row r="145" spans="4:4" x14ac:dyDescent="0.25">
      <c r="D145" s="7">
        <f t="shared" si="2"/>
        <v>0</v>
      </c>
    </row>
    <row r="146" spans="4:4" x14ac:dyDescent="0.25">
      <c r="D146" s="7">
        <f t="shared" si="2"/>
        <v>0</v>
      </c>
    </row>
    <row r="147" spans="4:4" x14ac:dyDescent="0.25">
      <c r="D147" s="7">
        <f t="shared" si="2"/>
        <v>0</v>
      </c>
    </row>
    <row r="148" spans="4:4" x14ac:dyDescent="0.25">
      <c r="D148" s="7">
        <f t="shared" si="2"/>
        <v>0</v>
      </c>
    </row>
    <row r="149" spans="4:4" x14ac:dyDescent="0.25">
      <c r="D149" s="7">
        <f t="shared" si="2"/>
        <v>0</v>
      </c>
    </row>
    <row r="150" spans="4:4" x14ac:dyDescent="0.25">
      <c r="D150" s="7">
        <f t="shared" si="2"/>
        <v>0</v>
      </c>
    </row>
    <row r="151" spans="4:4" x14ac:dyDescent="0.25">
      <c r="D151" s="7">
        <f t="shared" si="2"/>
        <v>0</v>
      </c>
    </row>
    <row r="152" spans="4:4" x14ac:dyDescent="0.25">
      <c r="D152" s="7">
        <f t="shared" si="2"/>
        <v>0</v>
      </c>
    </row>
    <row r="153" spans="4:4" x14ac:dyDescent="0.25">
      <c r="D153" s="7">
        <f t="shared" si="2"/>
        <v>0</v>
      </c>
    </row>
    <row r="154" spans="4:4" x14ac:dyDescent="0.25">
      <c r="D154" s="7">
        <f t="shared" si="2"/>
        <v>0</v>
      </c>
    </row>
    <row r="155" spans="4:4" x14ac:dyDescent="0.25">
      <c r="D155" s="7">
        <f t="shared" si="2"/>
        <v>0</v>
      </c>
    </row>
    <row r="156" spans="4:4" x14ac:dyDescent="0.25">
      <c r="D156" s="7">
        <f t="shared" si="2"/>
        <v>0</v>
      </c>
    </row>
    <row r="157" spans="4:4" x14ac:dyDescent="0.25">
      <c r="D157" s="7">
        <f t="shared" si="2"/>
        <v>0</v>
      </c>
    </row>
    <row r="158" spans="4:4" x14ac:dyDescent="0.25">
      <c r="D158" s="7">
        <f t="shared" si="2"/>
        <v>0</v>
      </c>
    </row>
    <row r="159" spans="4:4" x14ac:dyDescent="0.25">
      <c r="D159" s="7">
        <f t="shared" si="2"/>
        <v>0</v>
      </c>
    </row>
    <row r="160" spans="4:4" x14ac:dyDescent="0.25">
      <c r="D160" s="7">
        <f t="shared" si="2"/>
        <v>0</v>
      </c>
    </row>
    <row r="161" spans="4:4" x14ac:dyDescent="0.25">
      <c r="D161" s="7">
        <f t="shared" si="2"/>
        <v>0</v>
      </c>
    </row>
    <row r="162" spans="4:4" x14ac:dyDescent="0.25">
      <c r="D162" s="7">
        <f t="shared" si="2"/>
        <v>0</v>
      </c>
    </row>
    <row r="163" spans="4:4" x14ac:dyDescent="0.25">
      <c r="D163" s="7">
        <f t="shared" si="2"/>
        <v>0</v>
      </c>
    </row>
    <row r="164" spans="4:4" x14ac:dyDescent="0.25">
      <c r="D164" s="7">
        <f t="shared" si="2"/>
        <v>0</v>
      </c>
    </row>
    <row r="165" spans="4:4" x14ac:dyDescent="0.25">
      <c r="D165" s="7">
        <f t="shared" si="2"/>
        <v>0</v>
      </c>
    </row>
    <row r="166" spans="4:4" x14ac:dyDescent="0.25">
      <c r="D166" s="7">
        <f t="shared" si="2"/>
        <v>0</v>
      </c>
    </row>
    <row r="167" spans="4:4" x14ac:dyDescent="0.25">
      <c r="D167" s="7">
        <f t="shared" si="2"/>
        <v>0</v>
      </c>
    </row>
    <row r="168" spans="4:4" x14ac:dyDescent="0.25">
      <c r="D168" s="7">
        <f t="shared" si="2"/>
        <v>0</v>
      </c>
    </row>
    <row r="169" spans="4:4" x14ac:dyDescent="0.25">
      <c r="D169" s="7">
        <f t="shared" si="2"/>
        <v>0</v>
      </c>
    </row>
    <row r="170" spans="4:4" x14ac:dyDescent="0.25">
      <c r="D170" s="7">
        <f t="shared" si="2"/>
        <v>0</v>
      </c>
    </row>
    <row r="171" spans="4:4" x14ac:dyDescent="0.25">
      <c r="D171" s="7">
        <f t="shared" si="2"/>
        <v>0</v>
      </c>
    </row>
    <row r="172" spans="4:4" x14ac:dyDescent="0.25">
      <c r="D172" s="7">
        <f t="shared" si="2"/>
        <v>0</v>
      </c>
    </row>
    <row r="173" spans="4:4" x14ac:dyDescent="0.25">
      <c r="D173" s="7">
        <f t="shared" si="2"/>
        <v>0</v>
      </c>
    </row>
    <row r="174" spans="4:4" x14ac:dyDescent="0.25">
      <c r="D174" s="7">
        <f t="shared" si="2"/>
        <v>0</v>
      </c>
    </row>
    <row r="175" spans="4:4" x14ac:dyDescent="0.25">
      <c r="D175" s="7">
        <f t="shared" si="2"/>
        <v>0</v>
      </c>
    </row>
    <row r="176" spans="4:4" x14ac:dyDescent="0.25">
      <c r="D176" s="7">
        <f t="shared" si="2"/>
        <v>0</v>
      </c>
    </row>
    <row r="177" spans="4:4" x14ac:dyDescent="0.25">
      <c r="D177" s="7">
        <f t="shared" si="2"/>
        <v>0</v>
      </c>
    </row>
    <row r="178" spans="4:4" x14ac:dyDescent="0.25">
      <c r="D178" s="7">
        <f t="shared" si="2"/>
        <v>0</v>
      </c>
    </row>
    <row r="179" spans="4:4" x14ac:dyDescent="0.25">
      <c r="D179" s="7">
        <f t="shared" si="2"/>
        <v>0</v>
      </c>
    </row>
    <row r="180" spans="4:4" x14ac:dyDescent="0.25">
      <c r="D180" s="7">
        <f t="shared" si="2"/>
        <v>0</v>
      </c>
    </row>
    <row r="181" spans="4:4" x14ac:dyDescent="0.25">
      <c r="D181" s="7">
        <f t="shared" si="2"/>
        <v>0</v>
      </c>
    </row>
    <row r="182" spans="4:4" x14ac:dyDescent="0.25">
      <c r="D182" s="7">
        <f t="shared" si="2"/>
        <v>0</v>
      </c>
    </row>
    <row r="183" spans="4:4" x14ac:dyDescent="0.25">
      <c r="D183" s="7">
        <f t="shared" si="2"/>
        <v>0</v>
      </c>
    </row>
    <row r="184" spans="4:4" x14ac:dyDescent="0.25">
      <c r="D184" s="7">
        <f t="shared" si="2"/>
        <v>0</v>
      </c>
    </row>
    <row r="185" spans="4:4" x14ac:dyDescent="0.25">
      <c r="D185" s="7">
        <f t="shared" si="2"/>
        <v>0</v>
      </c>
    </row>
    <row r="186" spans="4:4" x14ac:dyDescent="0.25">
      <c r="D186" s="7">
        <f t="shared" si="2"/>
        <v>0</v>
      </c>
    </row>
    <row r="187" spans="4:4" x14ac:dyDescent="0.25">
      <c r="D187" s="7">
        <f t="shared" si="2"/>
        <v>0</v>
      </c>
    </row>
    <row r="188" spans="4:4" x14ac:dyDescent="0.25">
      <c r="D188" s="7">
        <f t="shared" si="2"/>
        <v>0</v>
      </c>
    </row>
    <row r="189" spans="4:4" x14ac:dyDescent="0.25">
      <c r="D189" s="7">
        <f t="shared" si="2"/>
        <v>0</v>
      </c>
    </row>
    <row r="190" spans="4:4" x14ac:dyDescent="0.25">
      <c r="D190" s="7">
        <f t="shared" si="2"/>
        <v>0</v>
      </c>
    </row>
    <row r="191" spans="4:4" x14ac:dyDescent="0.25">
      <c r="D191" s="7">
        <f t="shared" si="2"/>
        <v>0</v>
      </c>
    </row>
    <row r="192" spans="4:4" x14ac:dyDescent="0.25">
      <c r="D192" s="7">
        <f t="shared" si="2"/>
        <v>0</v>
      </c>
    </row>
    <row r="193" spans="4:4" x14ac:dyDescent="0.25">
      <c r="D193" s="7">
        <f t="shared" si="2"/>
        <v>0</v>
      </c>
    </row>
    <row r="194" spans="4:4" x14ac:dyDescent="0.25">
      <c r="D194" s="7">
        <f t="shared" si="2"/>
        <v>0</v>
      </c>
    </row>
    <row r="195" spans="4:4" x14ac:dyDescent="0.25">
      <c r="D195" s="7">
        <f t="shared" ref="D195:D258" si="3">C195/SUM($C$2:$C$1048576)</f>
        <v>0</v>
      </c>
    </row>
    <row r="196" spans="4:4" x14ac:dyDescent="0.25">
      <c r="D196" s="7">
        <f t="shared" si="3"/>
        <v>0</v>
      </c>
    </row>
    <row r="197" spans="4:4" x14ac:dyDescent="0.25">
      <c r="D197" s="7">
        <f t="shared" si="3"/>
        <v>0</v>
      </c>
    </row>
    <row r="198" spans="4:4" x14ac:dyDescent="0.25">
      <c r="D198" s="7">
        <f t="shared" si="3"/>
        <v>0</v>
      </c>
    </row>
    <row r="199" spans="4:4" x14ac:dyDescent="0.25">
      <c r="D199" s="7">
        <f t="shared" si="3"/>
        <v>0</v>
      </c>
    </row>
    <row r="200" spans="4:4" x14ac:dyDescent="0.25">
      <c r="D200" s="7">
        <f t="shared" si="3"/>
        <v>0</v>
      </c>
    </row>
    <row r="201" spans="4:4" x14ac:dyDescent="0.25">
      <c r="D201" s="7">
        <f t="shared" si="3"/>
        <v>0</v>
      </c>
    </row>
    <row r="202" spans="4:4" x14ac:dyDescent="0.25">
      <c r="D202" s="7">
        <f t="shared" si="3"/>
        <v>0</v>
      </c>
    </row>
    <row r="203" spans="4:4" x14ac:dyDescent="0.25">
      <c r="D203" s="7">
        <f t="shared" si="3"/>
        <v>0</v>
      </c>
    </row>
    <row r="204" spans="4:4" x14ac:dyDescent="0.25">
      <c r="D204" s="7">
        <f t="shared" si="3"/>
        <v>0</v>
      </c>
    </row>
    <row r="205" spans="4:4" x14ac:dyDescent="0.25">
      <c r="D205" s="7">
        <f t="shared" si="3"/>
        <v>0</v>
      </c>
    </row>
    <row r="206" spans="4:4" x14ac:dyDescent="0.25">
      <c r="D206" s="7">
        <f t="shared" si="3"/>
        <v>0</v>
      </c>
    </row>
    <row r="207" spans="4:4" x14ac:dyDescent="0.25">
      <c r="D207" s="7">
        <f t="shared" si="3"/>
        <v>0</v>
      </c>
    </row>
    <row r="208" spans="4:4" x14ac:dyDescent="0.25">
      <c r="D208" s="7">
        <f t="shared" si="3"/>
        <v>0</v>
      </c>
    </row>
    <row r="209" spans="4:4" x14ac:dyDescent="0.25">
      <c r="D209" s="7">
        <f t="shared" si="3"/>
        <v>0</v>
      </c>
    </row>
    <row r="210" spans="4:4" x14ac:dyDescent="0.25">
      <c r="D210" s="7">
        <f t="shared" si="3"/>
        <v>0</v>
      </c>
    </row>
    <row r="211" spans="4:4" x14ac:dyDescent="0.25">
      <c r="D211" s="7">
        <f t="shared" si="3"/>
        <v>0</v>
      </c>
    </row>
    <row r="212" spans="4:4" x14ac:dyDescent="0.25">
      <c r="D212" s="7">
        <f t="shared" si="3"/>
        <v>0</v>
      </c>
    </row>
    <row r="213" spans="4:4" x14ac:dyDescent="0.25">
      <c r="D213" s="7">
        <f t="shared" si="3"/>
        <v>0</v>
      </c>
    </row>
    <row r="214" spans="4:4" x14ac:dyDescent="0.25">
      <c r="D214" s="7">
        <f t="shared" si="3"/>
        <v>0</v>
      </c>
    </row>
    <row r="215" spans="4:4" x14ac:dyDescent="0.25">
      <c r="D215" s="7">
        <f t="shared" si="3"/>
        <v>0</v>
      </c>
    </row>
    <row r="216" spans="4:4" x14ac:dyDescent="0.25">
      <c r="D216" s="7">
        <f t="shared" si="3"/>
        <v>0</v>
      </c>
    </row>
    <row r="217" spans="4:4" x14ac:dyDescent="0.25">
      <c r="D217" s="7">
        <f t="shared" si="3"/>
        <v>0</v>
      </c>
    </row>
    <row r="218" spans="4:4" x14ac:dyDescent="0.25">
      <c r="D218" s="7">
        <f t="shared" si="3"/>
        <v>0</v>
      </c>
    </row>
    <row r="219" spans="4:4" x14ac:dyDescent="0.25">
      <c r="D219" s="7">
        <f t="shared" si="3"/>
        <v>0</v>
      </c>
    </row>
    <row r="220" spans="4:4" x14ac:dyDescent="0.25">
      <c r="D220" s="7">
        <f t="shared" si="3"/>
        <v>0</v>
      </c>
    </row>
    <row r="221" spans="4:4" x14ac:dyDescent="0.25">
      <c r="D221" s="7">
        <f t="shared" si="3"/>
        <v>0</v>
      </c>
    </row>
    <row r="222" spans="4:4" x14ac:dyDescent="0.25">
      <c r="D222" s="7">
        <f t="shared" si="3"/>
        <v>0</v>
      </c>
    </row>
    <row r="223" spans="4:4" x14ac:dyDescent="0.25">
      <c r="D223" s="7">
        <f t="shared" si="3"/>
        <v>0</v>
      </c>
    </row>
    <row r="224" spans="4:4" x14ac:dyDescent="0.25">
      <c r="D224" s="7">
        <f t="shared" si="3"/>
        <v>0</v>
      </c>
    </row>
    <row r="225" spans="4:4" x14ac:dyDescent="0.25">
      <c r="D225" s="7">
        <f t="shared" si="3"/>
        <v>0</v>
      </c>
    </row>
    <row r="226" spans="4:4" x14ac:dyDescent="0.25">
      <c r="D226" s="7">
        <f t="shared" si="3"/>
        <v>0</v>
      </c>
    </row>
    <row r="227" spans="4:4" x14ac:dyDescent="0.25">
      <c r="D227" s="7">
        <f t="shared" si="3"/>
        <v>0</v>
      </c>
    </row>
    <row r="228" spans="4:4" x14ac:dyDescent="0.25">
      <c r="D228" s="7">
        <f t="shared" si="3"/>
        <v>0</v>
      </c>
    </row>
    <row r="229" spans="4:4" x14ac:dyDescent="0.25">
      <c r="D229" s="7">
        <f t="shared" si="3"/>
        <v>0</v>
      </c>
    </row>
    <row r="230" spans="4:4" x14ac:dyDescent="0.25">
      <c r="D230" s="7">
        <f t="shared" si="3"/>
        <v>0</v>
      </c>
    </row>
    <row r="231" spans="4:4" x14ac:dyDescent="0.25">
      <c r="D231" s="7">
        <f t="shared" si="3"/>
        <v>0</v>
      </c>
    </row>
    <row r="232" spans="4:4" x14ac:dyDescent="0.25">
      <c r="D232" s="7">
        <f t="shared" si="3"/>
        <v>0</v>
      </c>
    </row>
    <row r="233" spans="4:4" x14ac:dyDescent="0.25">
      <c r="D233" s="7">
        <f t="shared" si="3"/>
        <v>0</v>
      </c>
    </row>
    <row r="234" spans="4:4" x14ac:dyDescent="0.25">
      <c r="D234" s="7">
        <f t="shared" si="3"/>
        <v>0</v>
      </c>
    </row>
    <row r="235" spans="4:4" x14ac:dyDescent="0.25">
      <c r="D235" s="7">
        <f t="shared" si="3"/>
        <v>0</v>
      </c>
    </row>
    <row r="236" spans="4:4" x14ac:dyDescent="0.25">
      <c r="D236" s="7">
        <f t="shared" si="3"/>
        <v>0</v>
      </c>
    </row>
    <row r="237" spans="4:4" x14ac:dyDescent="0.25">
      <c r="D237" s="7">
        <f t="shared" si="3"/>
        <v>0</v>
      </c>
    </row>
    <row r="238" spans="4:4" x14ac:dyDescent="0.25">
      <c r="D238" s="7">
        <f t="shared" si="3"/>
        <v>0</v>
      </c>
    </row>
    <row r="239" spans="4:4" x14ac:dyDescent="0.25">
      <c r="D239" s="7">
        <f t="shared" si="3"/>
        <v>0</v>
      </c>
    </row>
    <row r="240" spans="4:4" x14ac:dyDescent="0.25">
      <c r="D240" s="7">
        <f t="shared" si="3"/>
        <v>0</v>
      </c>
    </row>
    <row r="241" spans="4:4" x14ac:dyDescent="0.25">
      <c r="D241" s="7">
        <f t="shared" si="3"/>
        <v>0</v>
      </c>
    </row>
    <row r="242" spans="4:4" x14ac:dyDescent="0.25">
      <c r="D242" s="7">
        <f t="shared" si="3"/>
        <v>0</v>
      </c>
    </row>
    <row r="243" spans="4:4" x14ac:dyDescent="0.25">
      <c r="D243" s="7">
        <f t="shared" si="3"/>
        <v>0</v>
      </c>
    </row>
    <row r="244" spans="4:4" x14ac:dyDescent="0.25">
      <c r="D244" s="7">
        <f t="shared" si="3"/>
        <v>0</v>
      </c>
    </row>
    <row r="245" spans="4:4" x14ac:dyDescent="0.25">
      <c r="D245" s="7">
        <f t="shared" si="3"/>
        <v>0</v>
      </c>
    </row>
    <row r="246" spans="4:4" x14ac:dyDescent="0.25">
      <c r="D246" s="7">
        <f t="shared" si="3"/>
        <v>0</v>
      </c>
    </row>
    <row r="247" spans="4:4" x14ac:dyDescent="0.25">
      <c r="D247" s="7">
        <f t="shared" si="3"/>
        <v>0</v>
      </c>
    </row>
    <row r="248" spans="4:4" x14ac:dyDescent="0.25">
      <c r="D248" s="7">
        <f t="shared" si="3"/>
        <v>0</v>
      </c>
    </row>
    <row r="249" spans="4:4" x14ac:dyDescent="0.25">
      <c r="D249" s="7">
        <f t="shared" si="3"/>
        <v>0</v>
      </c>
    </row>
    <row r="250" spans="4:4" x14ac:dyDescent="0.25">
      <c r="D250" s="7">
        <f t="shared" si="3"/>
        <v>0</v>
      </c>
    </row>
    <row r="251" spans="4:4" x14ac:dyDescent="0.25">
      <c r="D251" s="7">
        <f t="shared" si="3"/>
        <v>0</v>
      </c>
    </row>
    <row r="252" spans="4:4" x14ac:dyDescent="0.25">
      <c r="D252" s="7">
        <f t="shared" si="3"/>
        <v>0</v>
      </c>
    </row>
    <row r="253" spans="4:4" x14ac:dyDescent="0.25">
      <c r="D253" s="7">
        <f t="shared" si="3"/>
        <v>0</v>
      </c>
    </row>
    <row r="254" spans="4:4" x14ac:dyDescent="0.25">
      <c r="D254" s="7">
        <f t="shared" si="3"/>
        <v>0</v>
      </c>
    </row>
    <row r="255" spans="4:4" x14ac:dyDescent="0.25">
      <c r="D255" s="7">
        <f t="shared" si="3"/>
        <v>0</v>
      </c>
    </row>
    <row r="256" spans="4:4" x14ac:dyDescent="0.25">
      <c r="D256" s="7">
        <f t="shared" si="3"/>
        <v>0</v>
      </c>
    </row>
    <row r="257" spans="4:4" x14ac:dyDescent="0.25">
      <c r="D257" s="7">
        <f t="shared" si="3"/>
        <v>0</v>
      </c>
    </row>
    <row r="258" spans="4:4" x14ac:dyDescent="0.25">
      <c r="D258" s="7">
        <f t="shared" si="3"/>
        <v>0</v>
      </c>
    </row>
    <row r="259" spans="4:4" x14ac:dyDescent="0.25">
      <c r="D259" s="7">
        <f t="shared" ref="D259:D285" si="4">C259/SUM($C$2:$C$1048576)</f>
        <v>0</v>
      </c>
    </row>
    <row r="260" spans="4:4" x14ac:dyDescent="0.25">
      <c r="D260" s="7">
        <f t="shared" si="4"/>
        <v>0</v>
      </c>
    </row>
    <row r="261" spans="4:4" x14ac:dyDescent="0.25">
      <c r="D261" s="7">
        <f t="shared" si="4"/>
        <v>0</v>
      </c>
    </row>
    <row r="262" spans="4:4" x14ac:dyDescent="0.25">
      <c r="D262" s="7">
        <f t="shared" si="4"/>
        <v>0</v>
      </c>
    </row>
    <row r="263" spans="4:4" x14ac:dyDescent="0.25">
      <c r="D263" s="7">
        <f t="shared" si="4"/>
        <v>0</v>
      </c>
    </row>
    <row r="264" spans="4:4" x14ac:dyDescent="0.25">
      <c r="D264" s="7">
        <f t="shared" si="4"/>
        <v>0</v>
      </c>
    </row>
    <row r="265" spans="4:4" x14ac:dyDescent="0.25">
      <c r="D265" s="7">
        <f t="shared" si="4"/>
        <v>0</v>
      </c>
    </row>
    <row r="266" spans="4:4" x14ac:dyDescent="0.25">
      <c r="D266" s="7">
        <f t="shared" si="4"/>
        <v>0</v>
      </c>
    </row>
    <row r="267" spans="4:4" x14ac:dyDescent="0.25">
      <c r="D267" s="7">
        <f t="shared" si="4"/>
        <v>0</v>
      </c>
    </row>
    <row r="268" spans="4:4" x14ac:dyDescent="0.25">
      <c r="D268" s="7">
        <f t="shared" si="4"/>
        <v>0</v>
      </c>
    </row>
    <row r="269" spans="4:4" x14ac:dyDescent="0.25">
      <c r="D269" s="7">
        <f t="shared" si="4"/>
        <v>0</v>
      </c>
    </row>
    <row r="270" spans="4:4" x14ac:dyDescent="0.25">
      <c r="D270" s="7">
        <f t="shared" si="4"/>
        <v>0</v>
      </c>
    </row>
    <row r="271" spans="4:4" x14ac:dyDescent="0.25">
      <c r="D271" s="7">
        <f t="shared" si="4"/>
        <v>0</v>
      </c>
    </row>
    <row r="272" spans="4:4" x14ac:dyDescent="0.25">
      <c r="D272" s="7">
        <f t="shared" si="4"/>
        <v>0</v>
      </c>
    </row>
    <row r="273" spans="4:4" x14ac:dyDescent="0.25">
      <c r="D273" s="7">
        <f t="shared" si="4"/>
        <v>0</v>
      </c>
    </row>
    <row r="274" spans="4:4" x14ac:dyDescent="0.25">
      <c r="D274" s="7">
        <f t="shared" si="4"/>
        <v>0</v>
      </c>
    </row>
    <row r="275" spans="4:4" x14ac:dyDescent="0.25">
      <c r="D275" s="7">
        <f t="shared" si="4"/>
        <v>0</v>
      </c>
    </row>
    <row r="276" spans="4:4" x14ac:dyDescent="0.25">
      <c r="D276" s="7">
        <f t="shared" si="4"/>
        <v>0</v>
      </c>
    </row>
    <row r="277" spans="4:4" x14ac:dyDescent="0.25">
      <c r="D277" s="7">
        <f t="shared" si="4"/>
        <v>0</v>
      </c>
    </row>
    <row r="278" spans="4:4" x14ac:dyDescent="0.25">
      <c r="D278" s="7">
        <f t="shared" si="4"/>
        <v>0</v>
      </c>
    </row>
    <row r="279" spans="4:4" x14ac:dyDescent="0.25">
      <c r="D279" s="7">
        <f t="shared" si="4"/>
        <v>0</v>
      </c>
    </row>
    <row r="280" spans="4:4" x14ac:dyDescent="0.25">
      <c r="D280" s="7">
        <f t="shared" si="4"/>
        <v>0</v>
      </c>
    </row>
    <row r="281" spans="4:4" x14ac:dyDescent="0.25">
      <c r="D281" s="7">
        <f t="shared" si="4"/>
        <v>0</v>
      </c>
    </row>
    <row r="282" spans="4:4" x14ac:dyDescent="0.25">
      <c r="D282" s="7">
        <f t="shared" si="4"/>
        <v>0</v>
      </c>
    </row>
    <row r="283" spans="4:4" x14ac:dyDescent="0.25">
      <c r="D283" s="7">
        <f t="shared" si="4"/>
        <v>0</v>
      </c>
    </row>
    <row r="284" spans="4:4" x14ac:dyDescent="0.25">
      <c r="D284" s="7">
        <f t="shared" si="4"/>
        <v>0</v>
      </c>
    </row>
    <row r="285" spans="4:4" x14ac:dyDescent="0.25">
      <c r="D285" s="7">
        <f t="shared" si="4"/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0767E-187D-4BED-BBAB-0D1EEC80F334}">
  <dimension ref="C12:N120"/>
  <sheetViews>
    <sheetView topLeftCell="A100" workbookViewId="0">
      <selection activeCell="J110" sqref="J110"/>
    </sheetView>
  </sheetViews>
  <sheetFormatPr defaultRowHeight="15" x14ac:dyDescent="0.25"/>
  <cols>
    <col min="3" max="3" width="38.85546875" bestFit="1" customWidth="1"/>
    <col min="4" max="6" width="6" bestFit="1" customWidth="1"/>
  </cols>
  <sheetData>
    <row r="12" spans="3:6" x14ac:dyDescent="0.25">
      <c r="C12" t="s">
        <v>35</v>
      </c>
      <c r="D12" t="s">
        <v>6</v>
      </c>
      <c r="E12" t="s">
        <v>9</v>
      </c>
      <c r="F12" t="s">
        <v>58</v>
      </c>
    </row>
    <row r="14" spans="3:6" s="9" customFormat="1" ht="14.25" customHeight="1" x14ac:dyDescent="0.25">
      <c r="C14" s="9" t="s">
        <v>62</v>
      </c>
      <c r="D14" s="9">
        <v>61464</v>
      </c>
      <c r="E14" s="9">
        <v>65935</v>
      </c>
      <c r="F14" s="9">
        <v>69333</v>
      </c>
    </row>
    <row r="15" spans="3:6" s="9" customFormat="1" x14ac:dyDescent="0.25">
      <c r="C15" s="9" t="s">
        <v>63</v>
      </c>
      <c r="D15" s="9">
        <v>52789</v>
      </c>
      <c r="E15" s="9">
        <v>56267</v>
      </c>
      <c r="F15" s="9">
        <v>58802</v>
      </c>
    </row>
    <row r="16" spans="3:6" x14ac:dyDescent="0.25">
      <c r="C16" t="s">
        <v>38</v>
      </c>
      <c r="D16">
        <v>42236</v>
      </c>
      <c r="E16">
        <v>44852</v>
      </c>
      <c r="F16">
        <v>46888</v>
      </c>
    </row>
    <row r="17" spans="3:14" x14ac:dyDescent="0.25">
      <c r="C17" t="s">
        <v>59</v>
      </c>
      <c r="D17">
        <v>2219</v>
      </c>
      <c r="E17">
        <v>2913</v>
      </c>
      <c r="F17">
        <v>3258</v>
      </c>
    </row>
    <row r="18" spans="3:14" x14ac:dyDescent="0.25">
      <c r="C18" t="s">
        <v>60</v>
      </c>
      <c r="D18">
        <v>3548</v>
      </c>
      <c r="E18">
        <v>4262</v>
      </c>
      <c r="F18">
        <v>4558</v>
      </c>
    </row>
    <row r="19" spans="3:14" x14ac:dyDescent="0.25">
      <c r="C19" t="s">
        <v>53</v>
      </c>
      <c r="D19">
        <v>4167</v>
      </c>
      <c r="E19">
        <v>3795</v>
      </c>
      <c r="F19">
        <v>3731</v>
      </c>
    </row>
    <row r="20" spans="3:14" x14ac:dyDescent="0.25">
      <c r="C20" t="s">
        <v>21</v>
      </c>
      <c r="D20">
        <v>513</v>
      </c>
      <c r="E20">
        <v>395</v>
      </c>
      <c r="F20">
        <v>333</v>
      </c>
    </row>
    <row r="21" spans="3:14" x14ac:dyDescent="0.25">
      <c r="C21" t="s">
        <v>61</v>
      </c>
      <c r="D21">
        <v>106</v>
      </c>
      <c r="E21">
        <v>50</v>
      </c>
      <c r="F21">
        <v>35</v>
      </c>
    </row>
    <row r="22" spans="3:14" s="9" customFormat="1" x14ac:dyDescent="0.25">
      <c r="C22" s="9" t="s">
        <v>64</v>
      </c>
      <c r="D22" s="9">
        <v>8857</v>
      </c>
      <c r="E22" s="9">
        <v>9668</v>
      </c>
      <c r="F22" s="9">
        <v>10531</v>
      </c>
    </row>
    <row r="23" spans="3:14" x14ac:dyDescent="0.25">
      <c r="C23" t="s">
        <v>65</v>
      </c>
      <c r="D23">
        <v>4032</v>
      </c>
      <c r="E23">
        <v>4797</v>
      </c>
      <c r="F23">
        <v>5262</v>
      </c>
    </row>
    <row r="24" spans="3:14" x14ac:dyDescent="0.25">
      <c r="C24" t="s">
        <v>66</v>
      </c>
      <c r="D24">
        <v>4765</v>
      </c>
      <c r="E24">
        <v>4829</v>
      </c>
      <c r="F24">
        <v>5230</v>
      </c>
    </row>
    <row r="25" spans="3:14" x14ac:dyDescent="0.25">
      <c r="C25" t="s">
        <v>67</v>
      </c>
      <c r="D25">
        <v>60</v>
      </c>
      <c r="E25">
        <v>43</v>
      </c>
      <c r="F25">
        <v>39</v>
      </c>
      <c r="N25" s="1"/>
    </row>
    <row r="26" spans="3:14" s="9" customFormat="1" x14ac:dyDescent="0.25"/>
    <row r="27" spans="3:14" x14ac:dyDescent="0.25">
      <c r="C27" s="9" t="s">
        <v>68</v>
      </c>
      <c r="D27" s="9">
        <v>12884</v>
      </c>
      <c r="E27" s="9">
        <v>9628</v>
      </c>
      <c r="F27" s="9">
        <v>10318</v>
      </c>
    </row>
    <row r="28" spans="3:14" x14ac:dyDescent="0.25">
      <c r="C28" t="s">
        <v>39</v>
      </c>
      <c r="D28">
        <v>6426</v>
      </c>
      <c r="E28">
        <v>5949</v>
      </c>
      <c r="F28">
        <v>6547</v>
      </c>
    </row>
    <row r="29" spans="3:14" x14ac:dyDescent="0.25">
      <c r="C29" t="s">
        <v>69</v>
      </c>
      <c r="D29">
        <v>5114</v>
      </c>
      <c r="E29">
        <v>2655</v>
      </c>
      <c r="F29">
        <v>2507</v>
      </c>
    </row>
    <row r="30" spans="3:14" x14ac:dyDescent="0.25">
      <c r="C30" t="s">
        <v>70</v>
      </c>
      <c r="D30">
        <v>1343</v>
      </c>
      <c r="E30">
        <v>1025</v>
      </c>
      <c r="F30">
        <v>1265</v>
      </c>
    </row>
    <row r="34" spans="3:6" x14ac:dyDescent="0.25">
      <c r="C34" s="9" t="s">
        <v>71</v>
      </c>
      <c r="D34" s="9">
        <v>28856</v>
      </c>
      <c r="E34" s="9">
        <v>26665</v>
      </c>
      <c r="F34" s="9">
        <v>28323</v>
      </c>
    </row>
    <row r="35" spans="3:6" x14ac:dyDescent="0.25">
      <c r="C35" t="s">
        <v>72</v>
      </c>
      <c r="D35">
        <v>6008</v>
      </c>
      <c r="E35">
        <v>5934</v>
      </c>
      <c r="F35">
        <v>6120</v>
      </c>
    </row>
    <row r="36" spans="3:6" x14ac:dyDescent="0.25">
      <c r="C36" t="s">
        <v>73</v>
      </c>
      <c r="D36">
        <v>9964</v>
      </c>
      <c r="E36">
        <v>11103</v>
      </c>
      <c r="F36">
        <v>11885</v>
      </c>
    </row>
    <row r="40" spans="3:6" x14ac:dyDescent="0.25">
      <c r="C40" t="s">
        <v>86</v>
      </c>
      <c r="D40">
        <v>90502</v>
      </c>
      <c r="E40">
        <v>92599</v>
      </c>
      <c r="F40">
        <v>97656</v>
      </c>
    </row>
    <row r="115" spans="3:6" x14ac:dyDescent="0.25">
      <c r="D115" t="s">
        <v>6</v>
      </c>
      <c r="E115" t="s">
        <v>9</v>
      </c>
      <c r="F115" t="s">
        <v>58</v>
      </c>
    </row>
    <row r="117" spans="3:6" x14ac:dyDescent="0.25">
      <c r="C117" t="s">
        <v>87</v>
      </c>
      <c r="D117">
        <v>14043</v>
      </c>
      <c r="E117">
        <v>14016</v>
      </c>
      <c r="F117">
        <v>15250</v>
      </c>
    </row>
    <row r="118" spans="3:6" x14ac:dyDescent="0.25">
      <c r="C118" t="s">
        <v>88</v>
      </c>
      <c r="D118">
        <v>11864</v>
      </c>
      <c r="E118">
        <v>9844</v>
      </c>
      <c r="F118">
        <v>9327</v>
      </c>
    </row>
    <row r="119" spans="3:6" x14ac:dyDescent="0.25">
      <c r="C119" t="s">
        <v>41</v>
      </c>
      <c r="D119">
        <v>2948</v>
      </c>
      <c r="E119">
        <v>2805</v>
      </c>
      <c r="F119">
        <v>3746</v>
      </c>
    </row>
    <row r="120" spans="3:6" x14ac:dyDescent="0.25">
      <c r="C120" t="s">
        <v>89</v>
      </c>
      <c r="D120">
        <v>28856</v>
      </c>
      <c r="E120">
        <v>26665</v>
      </c>
      <c r="F120">
        <v>28323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522F5-4F73-43C4-84CE-1220F786E75E}">
  <dimension ref="C3:K23"/>
  <sheetViews>
    <sheetView workbookViewId="0">
      <selection activeCell="F14" sqref="F14"/>
    </sheetView>
  </sheetViews>
  <sheetFormatPr defaultRowHeight="15" x14ac:dyDescent="0.25"/>
  <cols>
    <col min="3" max="3" width="22.85546875" bestFit="1" customWidth="1"/>
  </cols>
  <sheetData>
    <row r="3" spans="3:11" x14ac:dyDescent="0.25">
      <c r="D3" t="s">
        <v>2</v>
      </c>
      <c r="E3" t="s">
        <v>9</v>
      </c>
      <c r="F3" t="s">
        <v>58</v>
      </c>
      <c r="G3">
        <v>2024</v>
      </c>
      <c r="H3">
        <v>2025</v>
      </c>
    </row>
    <row r="5" spans="3:11" x14ac:dyDescent="0.25">
      <c r="C5" t="s">
        <v>90</v>
      </c>
      <c r="D5" s="3">
        <v>0.28799999999999998</v>
      </c>
      <c r="E5" s="3">
        <v>0.29099999999999998</v>
      </c>
      <c r="F5" s="3">
        <v>0.29099999999999998</v>
      </c>
      <c r="G5" s="3">
        <v>0.27</v>
      </c>
      <c r="H5" s="3">
        <v>0.29099999999999998</v>
      </c>
    </row>
    <row r="6" spans="3:11" x14ac:dyDescent="0.25">
      <c r="C6" t="s">
        <v>94</v>
      </c>
      <c r="D6">
        <v>49</v>
      </c>
      <c r="E6">
        <v>49</v>
      </c>
      <c r="F6">
        <v>50</v>
      </c>
      <c r="G6">
        <v>49</v>
      </c>
      <c r="H6">
        <v>50</v>
      </c>
    </row>
    <row r="7" spans="3:11" x14ac:dyDescent="0.25">
      <c r="C7" t="s">
        <v>91</v>
      </c>
      <c r="D7">
        <v>40.700000000000003</v>
      </c>
      <c r="E7">
        <v>40.299999999999997</v>
      </c>
      <c r="F7">
        <v>39.5</v>
      </c>
      <c r="G7">
        <v>40.700000000000003</v>
      </c>
      <c r="H7">
        <v>39.5</v>
      </c>
    </row>
    <row r="8" spans="3:11" x14ac:dyDescent="0.25">
      <c r="C8" t="s">
        <v>92</v>
      </c>
      <c r="D8">
        <v>85.8</v>
      </c>
      <c r="E8">
        <v>83.1</v>
      </c>
      <c r="F8">
        <v>84.2</v>
      </c>
      <c r="G8">
        <v>85.8</v>
      </c>
      <c r="H8">
        <v>84.2</v>
      </c>
    </row>
    <row r="9" spans="3:11" x14ac:dyDescent="0.25">
      <c r="C9" t="s">
        <v>93</v>
      </c>
      <c r="D9">
        <v>7.1</v>
      </c>
      <c r="E9">
        <v>6.5</v>
      </c>
      <c r="F9">
        <v>8.1</v>
      </c>
      <c r="G9">
        <v>28.3</v>
      </c>
      <c r="H9">
        <v>26.1</v>
      </c>
    </row>
    <row r="10" spans="3:11" x14ac:dyDescent="0.25">
      <c r="C10" t="s">
        <v>54</v>
      </c>
      <c r="D10">
        <v>6.1260000000000003</v>
      </c>
      <c r="E10">
        <v>5.4009999999999998</v>
      </c>
      <c r="F10">
        <v>6.7850000000000001</v>
      </c>
      <c r="G10">
        <v>24.265999999999998</v>
      </c>
      <c r="H10">
        <v>21.97</v>
      </c>
      <c r="K10" s="1"/>
    </row>
    <row r="11" spans="3:11" x14ac:dyDescent="0.25">
      <c r="C11" t="s">
        <v>57</v>
      </c>
      <c r="D11">
        <v>1.0109999999999999</v>
      </c>
      <c r="E11">
        <v>1.101</v>
      </c>
      <c r="F11">
        <v>1.272</v>
      </c>
      <c r="G11">
        <v>4.0049999999999999</v>
      </c>
      <c r="H11">
        <v>4.12</v>
      </c>
    </row>
    <row r="14" spans="3:11" x14ac:dyDescent="0.25">
      <c r="D14" t="s">
        <v>6</v>
      </c>
      <c r="E14" t="s">
        <v>9</v>
      </c>
      <c r="F14" t="s">
        <v>58</v>
      </c>
    </row>
    <row r="20" spans="3:6" x14ac:dyDescent="0.25">
      <c r="C20" t="s">
        <v>101</v>
      </c>
      <c r="D20">
        <v>48</v>
      </c>
      <c r="E20">
        <v>52</v>
      </c>
      <c r="F20">
        <v>54.7</v>
      </c>
    </row>
    <row r="21" spans="3:6" x14ac:dyDescent="0.25">
      <c r="C21" t="s">
        <v>54</v>
      </c>
      <c r="D21">
        <v>42.235999999999997</v>
      </c>
      <c r="E21">
        <v>44.851999999999997</v>
      </c>
      <c r="F21">
        <v>46.887999999999998</v>
      </c>
    </row>
    <row r="22" spans="3:6" x14ac:dyDescent="0.25">
      <c r="C22" t="s">
        <v>102</v>
      </c>
      <c r="D22">
        <v>2.2189999999999999</v>
      </c>
      <c r="E22">
        <v>2.9129999999999998</v>
      </c>
      <c r="F22">
        <v>3.258</v>
      </c>
    </row>
    <row r="23" spans="3:6" x14ac:dyDescent="0.25">
      <c r="C23" t="s">
        <v>57</v>
      </c>
      <c r="D23">
        <v>3.548</v>
      </c>
      <c r="E23">
        <v>4.2619999999999996</v>
      </c>
      <c r="F23">
        <v>4.5579999999999998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DEED7-F350-4CDE-A045-FE6552F7C104}">
  <dimension ref="C3:I15"/>
  <sheetViews>
    <sheetView tabSelected="1" workbookViewId="0">
      <selection activeCell="D15" sqref="D15"/>
    </sheetView>
  </sheetViews>
  <sheetFormatPr defaultRowHeight="15" x14ac:dyDescent="0.25"/>
  <sheetData>
    <row r="3" spans="3:9" x14ac:dyDescent="0.25">
      <c r="D3" t="s">
        <v>6</v>
      </c>
      <c r="E3" t="s">
        <v>9</v>
      </c>
      <c r="F3" t="s">
        <v>58</v>
      </c>
      <c r="G3">
        <v>2024</v>
      </c>
      <c r="H3">
        <v>2025</v>
      </c>
    </row>
    <row r="8" spans="3:9" x14ac:dyDescent="0.25">
      <c r="C8" t="s">
        <v>15</v>
      </c>
      <c r="D8">
        <v>420</v>
      </c>
      <c r="E8">
        <v>354</v>
      </c>
      <c r="F8">
        <v>418</v>
      </c>
      <c r="G8">
        <v>1672</v>
      </c>
      <c r="H8">
        <v>1452</v>
      </c>
      <c r="I8" s="1"/>
    </row>
    <row r="11" spans="3:9" x14ac:dyDescent="0.25">
      <c r="D11" t="s">
        <v>6</v>
      </c>
      <c r="E11" t="s">
        <v>9</v>
      </c>
      <c r="F11" t="s">
        <v>58</v>
      </c>
    </row>
    <row r="14" spans="3:9" x14ac:dyDescent="0.25">
      <c r="C14" t="s">
        <v>23</v>
      </c>
    </row>
    <row r="15" spans="3:9" x14ac:dyDescent="0.25">
      <c r="C15" t="s">
        <v>15</v>
      </c>
      <c r="D15">
        <v>4761</v>
      </c>
      <c r="E15">
        <v>4829</v>
      </c>
      <c r="F15">
        <v>5230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EF8FE-482E-42AC-8EA5-92878DC598D2}">
  <dimension ref="B3:E15"/>
  <sheetViews>
    <sheetView workbookViewId="0">
      <selection activeCell="C3" sqref="C3"/>
    </sheetView>
  </sheetViews>
  <sheetFormatPr defaultRowHeight="15" x14ac:dyDescent="0.25"/>
  <cols>
    <col min="2" max="2" width="25.28515625" bestFit="1" customWidth="1"/>
  </cols>
  <sheetData>
    <row r="3" spans="2:5" x14ac:dyDescent="0.25">
      <c r="C3" t="s">
        <v>6</v>
      </c>
      <c r="D3" t="s">
        <v>9</v>
      </c>
      <c r="E3" t="s">
        <v>58</v>
      </c>
    </row>
    <row r="5" spans="2:5" x14ac:dyDescent="0.25">
      <c r="B5" t="s">
        <v>56</v>
      </c>
      <c r="C5">
        <v>35.5</v>
      </c>
      <c r="D5">
        <v>41.9</v>
      </c>
      <c r="E5">
        <v>42.6</v>
      </c>
    </row>
    <row r="6" spans="2:5" x14ac:dyDescent="0.25">
      <c r="B6" t="s">
        <v>95</v>
      </c>
      <c r="C6">
        <v>34.799999999999997</v>
      </c>
      <c r="D6">
        <v>30.4</v>
      </c>
      <c r="E6">
        <v>34.799999999999997</v>
      </c>
    </row>
    <row r="10" spans="2:5" x14ac:dyDescent="0.25">
      <c r="B10" t="s">
        <v>96</v>
      </c>
      <c r="C10">
        <v>4.3</v>
      </c>
      <c r="D10">
        <v>3.6</v>
      </c>
      <c r="E10">
        <v>3.9</v>
      </c>
    </row>
    <row r="11" spans="2:5" x14ac:dyDescent="0.25">
      <c r="B11" t="s">
        <v>97</v>
      </c>
      <c r="C11">
        <v>9.5</v>
      </c>
      <c r="D11">
        <v>8.8000000000000007</v>
      </c>
      <c r="E11">
        <v>7.4</v>
      </c>
    </row>
    <row r="12" spans="2:5" x14ac:dyDescent="0.25">
      <c r="B12" t="s">
        <v>55</v>
      </c>
      <c r="C12">
        <v>0.7</v>
      </c>
      <c r="D12">
        <v>0</v>
      </c>
      <c r="E12">
        <v>0</v>
      </c>
    </row>
    <row r="13" spans="2:5" x14ac:dyDescent="0.25">
      <c r="B13" t="s">
        <v>98</v>
      </c>
      <c r="C13">
        <v>7.7</v>
      </c>
      <c r="D13">
        <v>5.5</v>
      </c>
      <c r="E13">
        <v>4.4000000000000004</v>
      </c>
    </row>
    <row r="14" spans="2:5" x14ac:dyDescent="0.25">
      <c r="B14" t="s">
        <v>99</v>
      </c>
      <c r="C14">
        <v>5.9</v>
      </c>
      <c r="D14">
        <v>1.5</v>
      </c>
      <c r="E14">
        <v>1.4</v>
      </c>
    </row>
    <row r="15" spans="2:5" x14ac:dyDescent="0.25">
      <c r="B15" t="s">
        <v>100</v>
      </c>
      <c r="C15">
        <v>3.2</v>
      </c>
      <c r="D15">
        <v>4</v>
      </c>
      <c r="E15">
        <v>4.0999999999999996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55542-FD2E-4118-938C-50CACA7D889D}">
  <dimension ref="C3:G21"/>
  <sheetViews>
    <sheetView workbookViewId="0">
      <selection activeCell="F14" sqref="F14"/>
    </sheetView>
  </sheetViews>
  <sheetFormatPr defaultRowHeight="15" x14ac:dyDescent="0.25"/>
  <sheetData>
    <row r="3" spans="3:5" x14ac:dyDescent="0.25">
      <c r="C3" t="s">
        <v>6</v>
      </c>
      <c r="D3" t="s">
        <v>9</v>
      </c>
      <c r="E3" t="s">
        <v>58</v>
      </c>
    </row>
    <row r="18" spans="3:7" x14ac:dyDescent="0.25">
      <c r="C18" s="3">
        <v>0.128</v>
      </c>
      <c r="D18" s="3">
        <v>0.13100000000000001</v>
      </c>
      <c r="E18" s="3">
        <v>0.128</v>
      </c>
    </row>
    <row r="19" spans="3:7" x14ac:dyDescent="0.25">
      <c r="C19" s="3">
        <v>1.7000000000000001E-2</v>
      </c>
      <c r="D19" s="3">
        <v>2.4E-2</v>
      </c>
      <c r="E19" s="3">
        <v>2.5000000000000001E-2</v>
      </c>
    </row>
    <row r="20" spans="3:7" x14ac:dyDescent="0.25">
      <c r="C20" s="3">
        <v>1.4999999999999999E-2</v>
      </c>
      <c r="D20" s="3">
        <v>1.4E-2</v>
      </c>
      <c r="E20" s="3">
        <v>1.4999999999999999E-2</v>
      </c>
    </row>
    <row r="21" spans="3:7" x14ac:dyDescent="0.25">
      <c r="C21" s="3">
        <v>0.16</v>
      </c>
      <c r="D21" s="3">
        <v>0.17</v>
      </c>
      <c r="E21" s="3">
        <v>0.16699999999999998</v>
      </c>
      <c r="F21" s="13">
        <v>-0.3</v>
      </c>
      <c r="G21" s="3"/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4CFF7-3A85-4820-951F-62E41E9FBB53}">
  <dimension ref="B7:P11"/>
  <sheetViews>
    <sheetView workbookViewId="0">
      <selection activeCell="P11" sqref="N11:P11"/>
    </sheetView>
  </sheetViews>
  <sheetFormatPr defaultRowHeight="15" x14ac:dyDescent="0.25"/>
  <sheetData>
    <row r="7" spans="2:16" x14ac:dyDescent="0.25">
      <c r="B7" t="s">
        <v>15</v>
      </c>
      <c r="C7">
        <v>7</v>
      </c>
      <c r="D7">
        <v>5.6</v>
      </c>
      <c r="E7">
        <v>4</v>
      </c>
      <c r="F7">
        <v>4.2</v>
      </c>
      <c r="G7">
        <v>4.5</v>
      </c>
      <c r="H7">
        <v>3.5</v>
      </c>
      <c r="I7">
        <v>3.7</v>
      </c>
      <c r="J7">
        <v>4.9000000000000004</v>
      </c>
      <c r="K7">
        <v>5.3</v>
      </c>
      <c r="L7">
        <v>4.4000000000000004</v>
      </c>
      <c r="M7">
        <v>4.4000000000000004</v>
      </c>
      <c r="N7">
        <v>4.3</v>
      </c>
      <c r="O7">
        <v>4.8</v>
      </c>
      <c r="P7">
        <v>4.8</v>
      </c>
    </row>
    <row r="8" spans="2:16" x14ac:dyDescent="0.25">
      <c r="B8" t="s">
        <v>16</v>
      </c>
      <c r="C8">
        <v>6</v>
      </c>
      <c r="D8">
        <v>5.5</v>
      </c>
      <c r="E8">
        <v>4.7</v>
      </c>
      <c r="F8">
        <v>4.8</v>
      </c>
      <c r="G8">
        <v>4.9000000000000004</v>
      </c>
      <c r="H8">
        <v>4.3</v>
      </c>
      <c r="I8">
        <v>4.7</v>
      </c>
      <c r="J8">
        <v>6.2</v>
      </c>
      <c r="K8">
        <v>6.4</v>
      </c>
      <c r="L8">
        <v>5.0999999999999996</v>
      </c>
      <c r="M8">
        <v>5.2</v>
      </c>
      <c r="N8">
        <v>5.5</v>
      </c>
      <c r="O8">
        <v>6.1</v>
      </c>
      <c r="P8">
        <v>6.1</v>
      </c>
    </row>
    <row r="9" spans="2:16" x14ac:dyDescent="0.25">
      <c r="B9" t="s">
        <v>17</v>
      </c>
      <c r="C9">
        <v>5</v>
      </c>
      <c r="D9">
        <v>5.0999999999999996</v>
      </c>
      <c r="E9">
        <v>4.2</v>
      </c>
      <c r="F9">
        <v>4.3</v>
      </c>
      <c r="G9">
        <v>4.2</v>
      </c>
      <c r="H9">
        <v>3.6</v>
      </c>
      <c r="I9">
        <v>4</v>
      </c>
      <c r="J9">
        <v>4.9000000000000004</v>
      </c>
      <c r="K9">
        <v>5</v>
      </c>
      <c r="L9">
        <v>4.4000000000000004</v>
      </c>
      <c r="M9">
        <v>4.5999999999999996</v>
      </c>
      <c r="N9">
        <v>5</v>
      </c>
      <c r="O9">
        <v>4.5999999999999996</v>
      </c>
      <c r="P9">
        <v>5.5</v>
      </c>
    </row>
    <row r="10" spans="2:16" x14ac:dyDescent="0.25">
      <c r="B10" t="s">
        <v>18</v>
      </c>
      <c r="C10">
        <v>4</v>
      </c>
      <c r="D10">
        <v>5.6</v>
      </c>
      <c r="E10">
        <v>1.8</v>
      </c>
      <c r="F10">
        <v>2.2000000000000002</v>
      </c>
      <c r="G10">
        <v>2.8</v>
      </c>
      <c r="H10">
        <v>0.5</v>
      </c>
      <c r="I10">
        <v>0.1</v>
      </c>
      <c r="J10">
        <v>0.2</v>
      </c>
      <c r="K10">
        <v>0.4</v>
      </c>
      <c r="L10">
        <v>0.6</v>
      </c>
      <c r="M10">
        <v>0.4</v>
      </c>
      <c r="N10">
        <v>0.3</v>
      </c>
      <c r="O10">
        <v>0.5</v>
      </c>
      <c r="P10">
        <v>0.8</v>
      </c>
    </row>
    <row r="11" spans="2:16" x14ac:dyDescent="0.25">
      <c r="C11" s="12">
        <v>42339</v>
      </c>
      <c r="D11" s="12">
        <v>42705</v>
      </c>
      <c r="E11" s="12">
        <v>43070</v>
      </c>
      <c r="F11" s="12">
        <v>43435</v>
      </c>
      <c r="G11" s="12">
        <v>43800</v>
      </c>
      <c r="H11" s="12">
        <v>44166</v>
      </c>
      <c r="I11" s="12">
        <v>44531</v>
      </c>
      <c r="J11" s="12">
        <v>44896</v>
      </c>
      <c r="K11" s="12">
        <v>45261</v>
      </c>
      <c r="L11" s="12">
        <v>45627</v>
      </c>
      <c r="M11" s="12">
        <v>45717</v>
      </c>
      <c r="N11" s="12">
        <v>45809</v>
      </c>
      <c r="O11" s="12">
        <v>45901</v>
      </c>
      <c r="P11" s="12">
        <v>45992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23628D-2121-49A9-92D5-277D45F162FD}">
  <dimension ref="C3:H10"/>
  <sheetViews>
    <sheetView workbookViewId="0">
      <selection activeCell="D5" sqref="D5"/>
    </sheetView>
  </sheetViews>
  <sheetFormatPr defaultRowHeight="15" x14ac:dyDescent="0.25"/>
  <cols>
    <col min="3" max="3" width="19" bestFit="1" customWidth="1"/>
    <col min="7" max="8" width="9.7109375" bestFit="1" customWidth="1"/>
  </cols>
  <sheetData>
    <row r="3" spans="3:8" x14ac:dyDescent="0.25">
      <c r="D3" t="s">
        <v>5</v>
      </c>
      <c r="E3" t="s">
        <v>8</v>
      </c>
      <c r="F3" t="s">
        <v>9</v>
      </c>
    </row>
    <row r="4" spans="3:8" x14ac:dyDescent="0.25">
      <c r="G4" t="s">
        <v>24</v>
      </c>
      <c r="H4" t="s">
        <v>25</v>
      </c>
    </row>
    <row r="5" spans="3:8" x14ac:dyDescent="0.25">
      <c r="C5" t="s">
        <v>19</v>
      </c>
      <c r="D5">
        <v>169</v>
      </c>
      <c r="E5">
        <v>93</v>
      </c>
      <c r="F5">
        <v>74</v>
      </c>
      <c r="G5" s="3">
        <v>-0.20499999999999999</v>
      </c>
      <c r="H5" s="3">
        <v>-0.56299999999999994</v>
      </c>
    </row>
    <row r="6" spans="3:8" x14ac:dyDescent="0.25">
      <c r="C6" t="s">
        <v>20</v>
      </c>
      <c r="D6">
        <v>4167</v>
      </c>
      <c r="E6">
        <v>3795</v>
      </c>
      <c r="F6">
        <v>3731</v>
      </c>
      <c r="G6" s="3">
        <v>-1.7000000000000001E-2</v>
      </c>
      <c r="H6" s="3">
        <v>0.105</v>
      </c>
    </row>
    <row r="7" spans="3:8" x14ac:dyDescent="0.25">
      <c r="C7" t="s">
        <v>21</v>
      </c>
      <c r="D7">
        <v>513</v>
      </c>
      <c r="E7">
        <v>395</v>
      </c>
      <c r="F7">
        <v>333</v>
      </c>
      <c r="G7" s="3">
        <v>0.157</v>
      </c>
      <c r="H7" s="3">
        <v>-0.35099999999999998</v>
      </c>
    </row>
    <row r="8" spans="3:8" x14ac:dyDescent="0.25">
      <c r="C8" t="s">
        <v>22</v>
      </c>
      <c r="D8">
        <v>4032</v>
      </c>
      <c r="E8">
        <v>4797</v>
      </c>
      <c r="F8">
        <v>5262</v>
      </c>
      <c r="G8" s="3">
        <v>9.7000000000000003E-2</v>
      </c>
      <c r="H8" s="3">
        <v>0.30499999999999999</v>
      </c>
    </row>
    <row r="9" spans="3:8" x14ac:dyDescent="0.25">
      <c r="C9" t="s">
        <v>15</v>
      </c>
      <c r="D9">
        <v>8881</v>
      </c>
      <c r="E9">
        <v>9080</v>
      </c>
      <c r="F9">
        <v>9400</v>
      </c>
      <c r="G9" s="3">
        <v>3.5000000000000003E-2</v>
      </c>
      <c r="H9" s="3">
        <v>5.8000000000000003E-2</v>
      </c>
    </row>
    <row r="10" spans="3:8" x14ac:dyDescent="0.25">
      <c r="G10" s="3"/>
      <c r="H10" s="3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80353-2AEA-4B03-BD7E-AB8ECF39D507}">
  <dimension ref="W3:AK9"/>
  <sheetViews>
    <sheetView topLeftCell="R1" workbookViewId="0">
      <selection activeCell="X9" sqref="X9"/>
    </sheetView>
  </sheetViews>
  <sheetFormatPr defaultRowHeight="15" x14ac:dyDescent="0.25"/>
  <sheetData>
    <row r="3" spans="23:37" x14ac:dyDescent="0.25">
      <c r="W3" t="s">
        <v>1</v>
      </c>
      <c r="X3" t="s">
        <v>2</v>
      </c>
      <c r="Y3" t="s">
        <v>3</v>
      </c>
      <c r="Z3" t="s">
        <v>4</v>
      </c>
      <c r="AA3" t="s">
        <v>5</v>
      </c>
      <c r="AB3" t="s">
        <v>6</v>
      </c>
      <c r="AC3" t="s">
        <v>7</v>
      </c>
      <c r="AD3" t="s">
        <v>8</v>
      </c>
      <c r="AE3" t="s">
        <v>9</v>
      </c>
      <c r="AJ3" t="s">
        <v>11</v>
      </c>
      <c r="AK3" t="s">
        <v>12</v>
      </c>
    </row>
    <row r="9" spans="23:37" x14ac:dyDescent="0.25">
      <c r="W9">
        <v>9.9</v>
      </c>
      <c r="X9">
        <v>9.8000000000000007</v>
      </c>
      <c r="Y9">
        <v>9.3000000000000007</v>
      </c>
      <c r="Z9">
        <v>9.6</v>
      </c>
      <c r="AA9">
        <v>9.9</v>
      </c>
      <c r="AB9">
        <v>11.1</v>
      </c>
      <c r="AC9">
        <v>9.9</v>
      </c>
      <c r="AD9">
        <v>9.8000000000000007</v>
      </c>
      <c r="AE9">
        <v>9.5</v>
      </c>
      <c r="AJ9">
        <v>9.6</v>
      </c>
      <c r="AK9">
        <v>9.6999999999999993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13</vt:i4>
      </vt:variant>
    </vt:vector>
  </HeadingPairs>
  <TitlesOfParts>
    <vt:vector size="13" baseType="lpstr">
      <vt:lpstr>DRE Saida 2</vt:lpstr>
      <vt:lpstr>Tabelas</vt:lpstr>
      <vt:lpstr>Qualidade Cart 4966</vt:lpstr>
      <vt:lpstr>DRE Saida</vt:lpstr>
      <vt:lpstr>Pizza Teste</vt:lpstr>
      <vt:lpstr>Carteira</vt:lpstr>
      <vt:lpstr>Veículos</vt:lpstr>
      <vt:lpstr>Seguros e Cartões</vt:lpstr>
      <vt:lpstr>Captações</vt:lpstr>
      <vt:lpstr>Basiléia</vt:lpstr>
      <vt:lpstr>Qualidade Cart 2682</vt:lpstr>
      <vt:lpstr>Empréstimos</vt:lpstr>
      <vt:lpstr>Margem Financeira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Renato Eduardo Bortolotto</dc:creator>
  <cp:lastModifiedBy>Renato Eduardo Bortolotto</cp:lastModifiedBy>
  <dcterms:created xsi:type="dcterms:W3CDTF">2026-01-04T17:12:54Z</dcterms:created>
  <dcterms:modified xsi:type="dcterms:W3CDTF">2026-04-05T23:47:45Z</dcterms:modified>
</cp:coreProperties>
</file>