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rojetos\double-projects\ppt-doc\"/>
    </mc:Choice>
  </mc:AlternateContent>
  <xr:revisionPtr revIDLastSave="0" documentId="13_ncr:1_{071CF139-2C15-49A9-81E8-22D83EEBF4C3}" xr6:coauthVersionLast="47" xr6:coauthVersionMax="47" xr10:uidLastSave="{00000000-0000-0000-0000-000000000000}"/>
  <bookViews>
    <workbookView xWindow="1875" yWindow="1425" windowWidth="21600" windowHeight="11295" activeTab="1" xr2:uid="{E2EAAA9B-09FC-4773-92F8-622FD93420C8}"/>
  </bookViews>
  <sheets>
    <sheet name="DRE Saida 2" sheetId="18" r:id="rId1"/>
    <sheet name="Tabelas" sheetId="19" r:id="rId2"/>
    <sheet name="DRE Saida" sheetId="1" r:id="rId3"/>
    <sheet name="Pizza Teste" sheetId="6" r:id="rId4"/>
    <sheet name="slide_8" sheetId="7" r:id="rId5"/>
    <sheet name="slide_9" sheetId="8" r:id="rId6"/>
    <sheet name="slide_11" sheetId="9" r:id="rId7"/>
    <sheet name="Carteira" sheetId="16" r:id="rId8"/>
    <sheet name="slide_12" sheetId="10" r:id="rId9"/>
    <sheet name="slide_13" sheetId="11" r:id="rId10"/>
    <sheet name="slide_14" sheetId="12" r:id="rId11"/>
    <sheet name="slide_15" sheetId="13" r:id="rId12"/>
    <sheet name="slide_18" sheetId="14" r:id="rId13"/>
    <sheet name="slide_20" sheetId="15" r:id="rId14"/>
    <sheet name="Qualidade Cart 2682" sheetId="3" r:id="rId15"/>
    <sheet name="Emprestimos" sheetId="4" r:id="rId16"/>
    <sheet name="Seguros e Cartoes" sheetId="5" r:id="rId17"/>
    <sheet name="Margem Financeira" sheetId="2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<sst xmlns="http://schemas.openxmlformats.org/spreadsheetml/2006/main" count="279" uniqueCount="143">
  <si>
    <t>Labels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</si>
  <si>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</si>
  <si>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</si>
  <si>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</si>
  <si>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</si>
  <si>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</si>
  <si>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</si>
  <si>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</si>
  <si>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</si>
  <si>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</si>
  <si>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Lucro Liquido Recorrente</t>
  </si>
  <si>
    <t>9M24</t>
  </si>
  <si>
    <t>9M25</t>
  </si>
  <si>
    <t>teste feito</t>
  </si>
  <si>
    <t>teste 2 feito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</si>
  <si>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</si>
  <si>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</si>
  <si>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</si>
  <si>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</si>
  <si>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</si>
  <si>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</si>
  <si>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</si>
  <si>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</si>
  <si>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</si>
  <si>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</si>
  <si>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</si>
  <si>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9%</t>
  </si>
  <si>
    <t>9,4%</t>
  </si>
  <si>
    <t>10%</t>
  </si>
  <si>
    <t>11,1%</t>
  </si>
  <si>
    <t>15%</t>
  </si>
  <si>
    <t>16%</t>
  </si>
  <si>
    <t>15,1%</t>
  </si>
  <si>
    <t>12,1%</t>
  </si>
  <si>
    <t>15,4%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</si>
  <si>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</si>
  <si>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</si>
  <si>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</si>
  <si>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</si>
  <si>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</si>
  <si>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</si>
  <si>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</si>
  <si>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</si>
  <si>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</si>
  <si>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</si>
  <si>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</si>
  <si>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</si>
  <si>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</si>
  <si>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</si>
  <si>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</si>
  <si>
    <t>Receitas Totais</t>
  </si>
  <si>
    <t>bilhoes</t>
  </si>
  <si>
    <t>Graficos de Receitas totais</t>
  </si>
  <si>
    <t>Margem Financeira Bruta</t>
  </si>
  <si>
    <t>Serviços e Seguros</t>
  </si>
  <si>
    <t>Margem Financeira Bruta Total</t>
  </si>
  <si>
    <t>Mercado</t>
  </si>
  <si>
    <t>clientes</t>
  </si>
  <si>
    <t>Receitas De Serviços e Correetagem</t>
  </si>
  <si>
    <t>Seguros</t>
  </si>
  <si>
    <t>Servicos e Tarifas</t>
  </si>
  <si>
    <t>Custo de Crédito / Carteira de Crédito</t>
  </si>
  <si>
    <t>PDD Expandida</t>
  </si>
  <si>
    <t>Rec. De crédito</t>
  </si>
  <si>
    <t>Custo de Crédito Sobre Carteira</t>
  </si>
  <si>
    <t>Indice de Cobertura</t>
  </si>
  <si>
    <t>Despesa Pessoal Administrativa</t>
  </si>
  <si>
    <t>Pessoal</t>
  </si>
  <si>
    <t>Administrativas</t>
  </si>
  <si>
    <t>Deprec. Amortiza.</t>
  </si>
  <si>
    <t>Indice de Eficiencia</t>
  </si>
  <si>
    <t>Emprestimos</t>
  </si>
  <si>
    <t>Paineis Solares</t>
  </si>
  <si>
    <t>Demais Veiculos</t>
  </si>
  <si>
    <t>PMEs</t>
  </si>
  <si>
    <t>Large Corporate</t>
  </si>
  <si>
    <t>Originacao de Financiamentos de Veiculos</t>
  </si>
  <si>
    <t>Médias</t>
  </si>
  <si>
    <t>Leves Usados</t>
  </si>
  <si>
    <t>Depositos Interfinanceiros</t>
  </si>
  <si>
    <t>Empréstimos e Repasses</t>
  </si>
  <si>
    <t>Depositos a Prazo</t>
  </si>
  <si>
    <t>Instrumentos de Capital</t>
  </si>
  <si>
    <t>Cessões de Crédito</t>
  </si>
  <si>
    <t>FIDC</t>
  </si>
  <si>
    <t>Titulos Emitidos no Exterior</t>
  </si>
  <si>
    <t>Letras Financeiras</t>
  </si>
  <si>
    <t>Nivel II</t>
  </si>
  <si>
    <t>Nivel I Complementar</t>
  </si>
  <si>
    <t>Nivel I Principal</t>
  </si>
  <si>
    <t>Indice Basileia</t>
  </si>
  <si>
    <t>3T25 vs 2t</t>
  </si>
  <si>
    <t>Capital 2T25</t>
  </si>
  <si>
    <t>Lucro Liquido JCP</t>
  </si>
  <si>
    <t>Nivel 1 Compl.</t>
  </si>
  <si>
    <t>Ajustes Prud</t>
  </si>
  <si>
    <t>Capital</t>
  </si>
  <si>
    <t>Outros Veiculos</t>
  </si>
  <si>
    <t>Premios de Seguros</t>
  </si>
  <si>
    <t>CIB</t>
  </si>
  <si>
    <t>CORPORATE</t>
  </si>
  <si>
    <t>LARGE + if</t>
  </si>
  <si>
    <t>Exposicao de Carteira Do atacado</t>
  </si>
  <si>
    <t>Agroindustria</t>
  </si>
  <si>
    <t>Inst. Financeiras</t>
  </si>
  <si>
    <t>Industria</t>
  </si>
  <si>
    <t>Servicos</t>
  </si>
  <si>
    <t>Acucar e Etanol</t>
  </si>
  <si>
    <t>Construcao Civil</t>
  </si>
  <si>
    <t>Telecomunicacoes</t>
  </si>
  <si>
    <t>Cooperativas</t>
  </si>
  <si>
    <t>Oleo e Gas</t>
  </si>
  <si>
    <t>Project Finance</t>
  </si>
  <si>
    <t>Montadoras</t>
  </si>
  <si>
    <t>Mineracao</t>
  </si>
  <si>
    <t>Energia Eletrica</t>
  </si>
  <si>
    <t>Locadoras</t>
  </si>
  <si>
    <t>Saude</t>
  </si>
  <si>
    <t>Saneamento</t>
  </si>
  <si>
    <t>Farmaceutico</t>
  </si>
  <si>
    <t>Outros</t>
  </si>
  <si>
    <t>4T25</t>
  </si>
  <si>
    <t>Veiculos Pesados</t>
  </si>
  <si>
    <t>Motos e Veiculos Novos</t>
  </si>
  <si>
    <t>Outros (FGTS + Saúde)</t>
  </si>
  <si>
    <t>segmento varejo</t>
  </si>
  <si>
    <t>Varejo - Produtos de Entrada</t>
  </si>
  <si>
    <t>Varelo Relacional</t>
  </si>
  <si>
    <t>Empréstimo com Garantia Vericular (EGV)</t>
  </si>
  <si>
    <t>Cartão de Crédito</t>
  </si>
  <si>
    <t>CP</t>
  </si>
  <si>
    <t>Segmento Atacado</t>
  </si>
  <si>
    <t>Large Corporate + Instituições Financeiras</t>
  </si>
  <si>
    <t>Pequenas e Médias Empresas</t>
  </si>
  <si>
    <t>Segmento Atacado Ampliado</t>
  </si>
  <si>
    <t>Avais e Fianças Prestados</t>
  </si>
  <si>
    <t>TVM privado</t>
  </si>
  <si>
    <t>Receita de Prestação de Serviços e Corretagem</t>
  </si>
  <si>
    <t>Margem Financeira Com Clientes</t>
  </si>
  <si>
    <t>Margem Financeira com Mercado</t>
  </si>
  <si>
    <t>Receitas de Corretagem e Seguro</t>
  </si>
  <si>
    <t>Receitas de Prestação de Servicos e Corretagem</t>
  </si>
  <si>
    <t>Receitas de Prestação de Serviços (exclui corretagem de seguros)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</si>
</sst>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5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  <xf numFmtId="0" fontId="0" fillId="0" borderId="0" xfId="0" applyAlignment="1">
      <alignment wrapText="1"/>
    </xf>
    <xf numFmtId="9" fontId="0" fillId="0" borderId="0" xfId="1" applyFont="1"/>
    <xf numFmtId="165" fontId="0" fillId="0" borderId="0" xfId="1" applyNumberFormat="1" applyFont="1"/>
    <xf numFmtId="1" fontId="0" fillId="0" borderId="0" xfId="1" applyNumberFormat="1" applyFont="1"/>
    <xf numFmtId="165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/>
    <xf numFmtId="0" fontId="0" fillId="0" borderId="0" xfId="0" applyFon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0A736-06AB-48E7-AFFE-0EC2903148F5}">
  <dimension ref="B3:N36"/>
  <sheetViews>
    <sheetView workbookViewId="0">
      <selection activeCell="H7" sqref="H7"/>
    </sheetView>
  </sheetViews>
  <sheetFormatPr defaultRowHeight="15" x14ac:dyDescent="0.25"/>
  <cols>
    <col min="3" max="3" width="42.7109375" bestFit="1" customWidth="1"/>
  </cols>
  <sheetData>
    <row r="3" spans="3:8" x14ac:dyDescent="0.25">
      <c r="D3" t="s">
        <v>6</v>
      </c>
      <c r="E3" t="s">
        <v>9</v>
      </c>
      <c r="F3" t="s">
        <v>121</v>
      </c>
      <c r="G3">
        <v>2024</v>
      </c>
      <c r="H3">
        <v>2025</v>
      </c>
    </row>
    <row r="4" spans="3:8" x14ac:dyDescent="0.25">
      <c r="C4" t="s">
        <v>50</v>
      </c>
      <c r="D4">
        <v>3214</v>
      </c>
      <c r="E4">
        <v>2919</v>
      </c>
      <c r="F4">
        <v>3136</v>
      </c>
      <c r="G4">
        <v>11980</v>
      </c>
      <c r="H4">
        <v>11913</v>
      </c>
    </row>
    <row r="5" spans="3:8" x14ac:dyDescent="0.25">
      <c r="C5" t="s">
        <v>53</v>
      </c>
      <c r="D5">
        <v>2519</v>
      </c>
      <c r="E5">
        <v>2295</v>
      </c>
      <c r="F5">
        <v>2304</v>
      </c>
      <c r="G5">
        <v>9301</v>
      </c>
      <c r="H5">
        <v>9283</v>
      </c>
    </row>
    <row r="6" spans="3:8" x14ac:dyDescent="0.25">
      <c r="C6" t="s">
        <v>138</v>
      </c>
      <c r="D6">
        <v>2367</v>
      </c>
      <c r="E6">
        <v>2051</v>
      </c>
      <c r="F6">
        <v>2131</v>
      </c>
      <c r="G6">
        <v>8353</v>
      </c>
      <c r="H6">
        <v>8317</v>
      </c>
    </row>
    <row r="7" spans="3:8" x14ac:dyDescent="0.25">
      <c r="C7" t="s">
        <v>139</v>
      </c>
      <c r="D7">
        <v>152</v>
      </c>
      <c r="E7">
        <v>244</v>
      </c>
      <c r="F7">
        <v>172</v>
      </c>
      <c r="G7">
        <v>947</v>
      </c>
      <c r="H7">
        <v>966</v>
      </c>
    </row>
    <row r="9" spans="3:8" x14ac:dyDescent="0.25">
      <c r="C9" t="s">
        <v>137</v>
      </c>
      <c r="D9">
        <v>695</v>
      </c>
      <c r="E9">
        <v>624</v>
      </c>
      <c r="F9">
        <v>832</v>
      </c>
      <c r="G9">
        <v>2679</v>
      </c>
      <c r="H9">
        <v>2630</v>
      </c>
    </row>
    <row r="18" spans="3:14" x14ac:dyDescent="0.25">
      <c r="N18" s="1"/>
    </row>
    <row r="20" spans="3:14" x14ac:dyDescent="0.25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3:14" x14ac:dyDescent="0.25">
      <c r="L21" s="1"/>
    </row>
    <row r="25" spans="3:14" x14ac:dyDescent="0.25">
      <c r="C25" s="4"/>
      <c r="D25" s="5"/>
      <c r="E25" s="4"/>
      <c r="F25" s="5"/>
      <c r="G25" s="4"/>
      <c r="H25" s="4"/>
      <c r="I25" s="4"/>
      <c r="J25" s="5"/>
      <c r="K25" s="4"/>
      <c r="L25" s="5"/>
      <c r="M25" s="5"/>
    </row>
    <row r="35" spans="2:2" x14ac:dyDescent="0.25">
      <c r="B35" s="2"/>
    </row>
    <row r="36" spans="2:2" x14ac:dyDescent="0.25">
      <c r="B36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B3A40-3823-4B44-8654-968315449624}">
  <dimension ref="C16:H31"/>
  <sheetViews>
    <sheetView tabSelected="1" topLeftCell="A13" workbookViewId="0">
      <selection activeCell="C17" sqref="C17"/>
    </sheetView>
  </sheetViews>
  <sheetFormatPr defaultRowHeight="15" x14ac:dyDescent="0.25"/>
  <cols>
    <col min="3" max="3" width="59.7109375" bestFit="1" customWidth="1"/>
  </cols>
  <sheetData>
    <row r="16" spans="4:8" x14ac:dyDescent="0.25">
      <c r="D16" t="s">
        <v>6</v>
      </c>
      <c r="E16" t="s">
        <v>9</v>
      </c>
      <c r="F16" t="s">
        <v>121</v>
      </c>
      <c r="G16">
        <v>2024</v>
      </c>
      <c r="H16">
        <v>2025</v>
      </c>
    </row>
    <row r="17" spans="3:8" x14ac:dyDescent="0.25">
      <c r="H17" s="15"/>
    </row>
    <row r="19" spans="3:8" x14ac:dyDescent="0.25">
      <c r="C19" t="s">
        <v>140</v>
      </c>
      <c r="D19">
        <v>239</v>
      </c>
      <c r="E19">
        <v>205</v>
      </c>
      <c r="F19">
        <v>290</v>
      </c>
      <c r="G19">
        <v>932</v>
      </c>
      <c r="H19">
        <v>875</v>
      </c>
    </row>
    <row r="26" spans="3:8" x14ac:dyDescent="0.25">
      <c r="C26" t="s">
        <v>141</v>
      </c>
      <c r="D26">
        <v>695</v>
      </c>
      <c r="E26">
        <v>624</v>
      </c>
      <c r="F26">
        <v>832</v>
      </c>
      <c r="G26">
        <v>2679</v>
      </c>
      <c r="H26">
        <v>2630</v>
      </c>
    </row>
    <row r="28" spans="3:8" x14ac:dyDescent="0.25">
      <c r="C28" t="s">
        <v>142</v>
      </c>
      <c r="D28">
        <v>457</v>
      </c>
      <c r="E28">
        <v>419</v>
      </c>
      <c r="F28">
        <v>542</v>
      </c>
      <c r="G28">
        <v>1748</v>
      </c>
      <c r="H28">
        <v>1755</v>
      </c>
    </row>
    <row r="31" spans="3:8" x14ac:dyDescent="0.25">
      <c r="F31" s="15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opLeftCell="A4" workbookViewId="0">
      <selection activeCell="H17" sqref="H17"/>
    </sheetView>
  </sheetViews>
  <sheetFormatPr defaultRowHeight="15" x14ac:dyDescent="0.25"/>
  <sheetData>
    <row r="3" spans="2:13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11</v>
      </c>
      <c r="M3" t="s">
        <v>12</v>
      </c>
    </row>
    <row r="18" spans="2:14" x14ac:dyDescent="0.25">
      <c r="B18" t="s">
        <v>10</v>
      </c>
      <c r="C18">
        <v>285</v>
      </c>
      <c r="D18">
        <v>302</v>
      </c>
      <c r="E18">
        <v>321</v>
      </c>
      <c r="F18">
        <v>363</v>
      </c>
      <c r="G18">
        <v>496</v>
      </c>
      <c r="H18">
        <v>542</v>
      </c>
      <c r="I18">
        <v>480</v>
      </c>
      <c r="J18">
        <v>459</v>
      </c>
      <c r="K18">
        <v>461</v>
      </c>
      <c r="L18">
        <v>1180</v>
      </c>
      <c r="M18">
        <v>1400</v>
      </c>
      <c r="N18" s="1"/>
    </row>
    <row r="20" spans="2:14" x14ac:dyDescent="0.25">
      <c r="C20" s="6" t="s">
        <v>26</v>
      </c>
      <c r="D20" s="6" t="s">
        <v>27</v>
      </c>
      <c r="E20" s="6" t="s">
        <v>28</v>
      </c>
      <c r="F20" s="6" t="s">
        <v>29</v>
      </c>
      <c r="G20" s="6" t="s">
        <v>30</v>
      </c>
      <c r="H20" s="6" t="s">
        <v>31</v>
      </c>
      <c r="I20" s="6" t="s">
        <v>31</v>
      </c>
      <c r="J20" s="6" t="s">
        <v>32</v>
      </c>
      <c r="K20" s="6" t="s">
        <v>30</v>
      </c>
      <c r="L20" s="6" t="s">
        <v>33</v>
      </c>
      <c r="M20" s="6" t="s">
        <v>34</v>
      </c>
    </row>
    <row r="21" spans="2:14" x14ac:dyDescent="0.25">
      <c r="L21" s="1"/>
    </row>
    <row r="25" spans="2:14" x14ac:dyDescent="0.25">
      <c r="C25" s="4">
        <v>0.09</v>
      </c>
      <c r="D25" s="5">
        <v>9.4E-2</v>
      </c>
      <c r="E25" s="4">
        <v>0.1</v>
      </c>
      <c r="F25" s="5">
        <v>0.111</v>
      </c>
      <c r="G25" s="4">
        <v>0.15</v>
      </c>
      <c r="H25" s="4">
        <v>0.16</v>
      </c>
      <c r="I25" s="4">
        <v>0.16</v>
      </c>
      <c r="J25" s="5">
        <v>0.151</v>
      </c>
      <c r="K25" s="4">
        <v>0.15</v>
      </c>
      <c r="L25" s="5">
        <v>0.121</v>
      </c>
      <c r="M25" s="5">
        <v>0.154</v>
      </c>
    </row>
    <row r="35" spans="2:2" x14ac:dyDescent="0.25">
      <c r="B35" s="2" t="s">
        <v>13</v>
      </c>
    </row>
    <row r="36" spans="2:2" x14ac:dyDescent="0.25">
      <c r="B36" s="2" t="s">
        <v>14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opLeftCell="A4"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35</v>
      </c>
      <c r="C1" t="s">
        <v>46</v>
      </c>
      <c r="D1" t="s">
        <v>45</v>
      </c>
      <c r="H1" t="s">
        <v>47</v>
      </c>
    </row>
    <row r="2" spans="1:14" x14ac:dyDescent="0.25">
      <c r="A2" t="s">
        <v>36</v>
      </c>
      <c r="B2" t="s">
        <v>38</v>
      </c>
      <c r="C2">
        <v>44.495999999999995</v>
      </c>
      <c r="D2" s="7">
        <f>C2/SUM($C$2:$C$1048576)</f>
        <v>0.47999999999999987</v>
      </c>
      <c r="N2" t="s">
        <v>48</v>
      </c>
    </row>
    <row r="3" spans="1:14" x14ac:dyDescent="0.25">
      <c r="A3" t="s">
        <v>18</v>
      </c>
      <c r="B3" t="s">
        <v>39</v>
      </c>
      <c r="C3">
        <v>13.904999999999998</v>
      </c>
      <c r="D3" s="7">
        <f t="shared" ref="D3:D66" si="0">C3/SUM($C$2:$C$1048576)</f>
        <v>0.14999999999999994</v>
      </c>
      <c r="H3" t="s">
        <v>5</v>
      </c>
      <c r="I3" t="s">
        <v>8</v>
      </c>
      <c r="J3" t="s">
        <v>9</v>
      </c>
      <c r="K3" t="s">
        <v>11</v>
      </c>
      <c r="L3" t="s">
        <v>12</v>
      </c>
      <c r="N3" s="3">
        <v>-0.13300000000000001</v>
      </c>
    </row>
    <row r="4" spans="1:14" x14ac:dyDescent="0.25">
      <c r="A4" t="s">
        <v>18</v>
      </c>
      <c r="B4" t="s">
        <v>40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37</v>
      </c>
      <c r="B5" t="s">
        <v>19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37</v>
      </c>
      <c r="B6" t="s">
        <v>41</v>
      </c>
      <c r="C6">
        <v>2.7809999999999997</v>
      </c>
      <c r="D6" s="7">
        <f t="shared" si="0"/>
        <v>2.9999999999999992E-2</v>
      </c>
    </row>
    <row r="7" spans="1:14" x14ac:dyDescent="0.25">
      <c r="A7" t="s">
        <v>37</v>
      </c>
      <c r="B7" t="s">
        <v>22</v>
      </c>
      <c r="C7">
        <v>4.6349999999999998</v>
      </c>
      <c r="D7" s="7">
        <f t="shared" si="0"/>
        <v>4.9999999999999989E-2</v>
      </c>
    </row>
    <row r="8" spans="1:14" x14ac:dyDescent="0.25">
      <c r="A8" t="s">
        <v>37</v>
      </c>
      <c r="B8" t="s">
        <v>42</v>
      </c>
      <c r="C8">
        <v>4.6349999999999998</v>
      </c>
      <c r="D8" s="7">
        <f t="shared" si="0"/>
        <v>4.9999999999999989E-2</v>
      </c>
    </row>
    <row r="9" spans="1:14" x14ac:dyDescent="0.25">
      <c r="A9" t="s">
        <v>37</v>
      </c>
      <c r="B9" t="s">
        <v>43</v>
      </c>
      <c r="C9">
        <v>3.7079999999999997</v>
      </c>
      <c r="D9" s="7">
        <f t="shared" si="0"/>
        <v>3.9999999999999987E-2</v>
      </c>
    </row>
    <row r="10" spans="1:14" x14ac:dyDescent="0.25">
      <c r="A10" t="s">
        <v>37</v>
      </c>
      <c r="B10" t="s">
        <v>44</v>
      </c>
      <c r="C10">
        <v>7.4159999999999995</v>
      </c>
      <c r="D10" s="7">
        <f t="shared" si="0"/>
        <v>7.9999999999999974E-2</v>
      </c>
      <c r="H10" t="s">
        <v>49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8980-3939-4D95-9A4C-23A64D6BD062}">
  <dimension ref="C3:J27"/>
  <sheetViews>
    <sheetView topLeftCell="A29" workbookViewId="0">
      <selection activeCell="I47" sqref="I47"/>
    </sheetView>
  </sheetViews>
  <sheetFormatPr defaultRowHeight="15" x14ac:dyDescent="0.25"/>
  <cols>
    <col min="4" max="4" width="25.28515625" customWidth="1"/>
    <col min="5" max="5" width="17.42578125" bestFit="1" customWidth="1"/>
    <col min="8" max="8" width="23.5703125" bestFit="1" customWidth="1"/>
    <col min="9" max="9" width="17.42578125" bestFit="1" customWidth="1"/>
  </cols>
  <sheetData>
    <row r="3" spans="3:10" x14ac:dyDescent="0.25">
      <c r="C3" t="s">
        <v>50</v>
      </c>
    </row>
    <row r="4" spans="3:10" x14ac:dyDescent="0.25">
      <c r="C4">
        <v>2.9</v>
      </c>
      <c r="D4" t="s">
        <v>51</v>
      </c>
    </row>
    <row r="7" spans="3:10" x14ac:dyDescent="0.25">
      <c r="C7" t="s">
        <v>52</v>
      </c>
    </row>
    <row r="9" spans="3:10" x14ac:dyDescent="0.25">
      <c r="D9" t="s">
        <v>53</v>
      </c>
      <c r="E9" t="s">
        <v>54</v>
      </c>
      <c r="H9" t="s">
        <v>53</v>
      </c>
      <c r="I9" t="s">
        <v>54</v>
      </c>
    </row>
    <row r="10" spans="3:10" x14ac:dyDescent="0.25">
      <c r="C10" t="s">
        <v>5</v>
      </c>
      <c r="D10">
        <v>2372</v>
      </c>
      <c r="E10">
        <v>685</v>
      </c>
      <c r="G10" t="s">
        <v>11</v>
      </c>
      <c r="H10">
        <v>6782</v>
      </c>
      <c r="I10">
        <v>1984</v>
      </c>
    </row>
    <row r="11" spans="3:10" x14ac:dyDescent="0.25">
      <c r="C11" t="s">
        <v>8</v>
      </c>
      <c r="D11">
        <v>2311</v>
      </c>
      <c r="E11">
        <v>556</v>
      </c>
      <c r="G11" t="s">
        <v>12</v>
      </c>
      <c r="H11">
        <v>6976</v>
      </c>
      <c r="I11">
        <v>1798</v>
      </c>
    </row>
    <row r="12" spans="3:10" x14ac:dyDescent="0.25">
      <c r="C12" t="s">
        <v>9</v>
      </c>
      <c r="D12">
        <v>2295</v>
      </c>
      <c r="E12">
        <v>624</v>
      </c>
    </row>
    <row r="13" spans="3:10" x14ac:dyDescent="0.25">
      <c r="J13" s="1"/>
    </row>
    <row r="16" spans="3:10" x14ac:dyDescent="0.25">
      <c r="D16" t="s">
        <v>55</v>
      </c>
    </row>
    <row r="17" spans="3:9" x14ac:dyDescent="0.25">
      <c r="D17" t="s">
        <v>56</v>
      </c>
      <c r="E17" t="s">
        <v>57</v>
      </c>
      <c r="H17" t="s">
        <v>56</v>
      </c>
      <c r="I17" t="s">
        <v>57</v>
      </c>
    </row>
    <row r="18" spans="3:9" x14ac:dyDescent="0.25">
      <c r="C18" t="s">
        <v>5</v>
      </c>
      <c r="D18">
        <v>284</v>
      </c>
      <c r="E18">
        <v>2088</v>
      </c>
      <c r="G18" t="s">
        <v>11</v>
      </c>
      <c r="H18">
        <v>796</v>
      </c>
      <c r="I18">
        <v>5986</v>
      </c>
    </row>
    <row r="19" spans="3:9" x14ac:dyDescent="0.25">
      <c r="C19" t="s">
        <v>8</v>
      </c>
      <c r="D19">
        <v>232</v>
      </c>
      <c r="E19">
        <v>2079</v>
      </c>
      <c r="G19" t="s">
        <v>12</v>
      </c>
      <c r="H19">
        <v>793</v>
      </c>
      <c r="I19">
        <v>6183</v>
      </c>
    </row>
    <row r="20" spans="3:9" x14ac:dyDescent="0.25">
      <c r="C20" t="s">
        <v>9</v>
      </c>
      <c r="D20">
        <v>244</v>
      </c>
      <c r="E20">
        <v>2051</v>
      </c>
    </row>
    <row r="23" spans="3:9" x14ac:dyDescent="0.25">
      <c r="D23" t="s">
        <v>58</v>
      </c>
    </row>
    <row r="24" spans="3:9" x14ac:dyDescent="0.25">
      <c r="D24" t="s">
        <v>59</v>
      </c>
      <c r="E24" t="s">
        <v>60</v>
      </c>
      <c r="H24" t="s">
        <v>59</v>
      </c>
      <c r="I24" t="s">
        <v>60</v>
      </c>
    </row>
    <row r="25" spans="3:9" x14ac:dyDescent="0.25">
      <c r="C25" t="s">
        <v>5</v>
      </c>
      <c r="D25">
        <v>241</v>
      </c>
      <c r="E25">
        <v>444</v>
      </c>
      <c r="G25" t="s">
        <v>11</v>
      </c>
      <c r="H25">
        <v>693</v>
      </c>
      <c r="I25">
        <v>1291</v>
      </c>
    </row>
    <row r="26" spans="3:9" x14ac:dyDescent="0.25">
      <c r="C26" t="s">
        <v>8</v>
      </c>
      <c r="D26">
        <v>165</v>
      </c>
      <c r="E26">
        <v>391</v>
      </c>
      <c r="G26" t="s">
        <v>12</v>
      </c>
      <c r="H26">
        <v>585</v>
      </c>
      <c r="I26">
        <v>1213</v>
      </c>
    </row>
    <row r="27" spans="3:9" x14ac:dyDescent="0.25">
      <c r="C27" t="s">
        <v>9</v>
      </c>
      <c r="D27">
        <v>205</v>
      </c>
      <c r="E27">
        <v>419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AFF65-4D1E-443F-BDF3-D7DA42FEA733}">
  <dimension ref="B2:P7"/>
  <sheetViews>
    <sheetView workbookViewId="0">
      <selection activeCell="G7" sqref="B2:G7"/>
    </sheetView>
  </sheetViews>
  <sheetFormatPr defaultRowHeight="15" x14ac:dyDescent="0.25"/>
  <cols>
    <col min="2" max="2" width="17.5703125" customWidth="1"/>
  </cols>
  <sheetData>
    <row r="2" spans="2:16" x14ac:dyDescent="0.25">
      <c r="B2" s="13" t="s">
        <v>64</v>
      </c>
      <c r="C2" s="13"/>
      <c r="D2" s="13"/>
      <c r="E2" s="13"/>
      <c r="F2" s="13"/>
      <c r="G2" s="13"/>
      <c r="K2" s="13" t="s">
        <v>65</v>
      </c>
      <c r="L2" s="13"/>
      <c r="M2" s="13"/>
      <c r="N2" s="13"/>
      <c r="O2" s="13"/>
      <c r="P2" s="13"/>
    </row>
    <row r="3" spans="2:16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6" ht="30" x14ac:dyDescent="0.25">
      <c r="B4" s="8" t="s">
        <v>61</v>
      </c>
      <c r="C4" s="3">
        <v>4.4999999999999998E-2</v>
      </c>
      <c r="D4" s="3">
        <v>0.04</v>
      </c>
      <c r="E4" s="3">
        <v>3.7999999999999999E-2</v>
      </c>
      <c r="F4" s="3">
        <v>4.2000000000000003E-2</v>
      </c>
      <c r="G4" s="3">
        <v>3.9E-2</v>
      </c>
      <c r="K4" s="9">
        <v>1.72</v>
      </c>
      <c r="L4" s="9">
        <v>1.68</v>
      </c>
      <c r="M4" s="9">
        <v>2.21</v>
      </c>
      <c r="N4" s="9">
        <v>1.9</v>
      </c>
      <c r="O4" s="9">
        <v>1.79</v>
      </c>
    </row>
    <row r="6" spans="2:16" x14ac:dyDescent="0.25">
      <c r="B6" t="s">
        <v>62</v>
      </c>
      <c r="C6">
        <v>1159</v>
      </c>
      <c r="D6">
        <v>1167</v>
      </c>
      <c r="E6">
        <v>972</v>
      </c>
      <c r="F6">
        <v>3275</v>
      </c>
      <c r="G6">
        <v>3170</v>
      </c>
    </row>
    <row r="7" spans="2:16" x14ac:dyDescent="0.25">
      <c r="B7" t="s">
        <v>63</v>
      </c>
      <c r="C7">
        <v>-155</v>
      </c>
      <c r="D7">
        <v>-243</v>
      </c>
      <c r="E7">
        <v>-92</v>
      </c>
      <c r="F7">
        <v>-458</v>
      </c>
      <c r="G7">
        <v>-501</v>
      </c>
    </row>
  </sheetData>
  <mergeCells count="2">
    <mergeCell ref="B2:G2"/>
    <mergeCell ref="K2:P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3BFE8-86C2-496F-B733-78BC5607B7C2}">
  <dimension ref="B2:O6"/>
  <sheetViews>
    <sheetView workbookViewId="0">
      <selection activeCell="L20" sqref="L20"/>
    </sheetView>
  </sheetViews>
  <sheetFormatPr defaultRowHeight="15" x14ac:dyDescent="0.25"/>
  <cols>
    <col min="2" max="2" width="18.85546875" customWidth="1"/>
    <col min="3" max="5" width="9.28515625" bestFit="1" customWidth="1"/>
    <col min="6" max="7" width="9.5703125" bestFit="1" customWidth="1"/>
    <col min="11" max="11" width="9.42578125" bestFit="1" customWidth="1"/>
    <col min="12" max="13" width="10.140625" bestFit="1" customWidth="1"/>
    <col min="14" max="15" width="11.140625" bestFit="1" customWidth="1"/>
  </cols>
  <sheetData>
    <row r="2" spans="2:15" x14ac:dyDescent="0.25">
      <c r="B2" s="13" t="s">
        <v>66</v>
      </c>
      <c r="C2" s="13"/>
      <c r="D2" s="13"/>
      <c r="E2" s="13"/>
      <c r="F2" s="13"/>
      <c r="G2" s="13"/>
      <c r="J2" s="13" t="s">
        <v>70</v>
      </c>
      <c r="K2" s="13"/>
      <c r="L2" s="13"/>
      <c r="M2" s="13"/>
      <c r="N2" s="13"/>
      <c r="O2" s="13"/>
    </row>
    <row r="3" spans="2:15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5" x14ac:dyDescent="0.25">
      <c r="B4" s="8" t="s">
        <v>67</v>
      </c>
      <c r="C4" s="11">
        <v>472</v>
      </c>
      <c r="D4" s="11">
        <v>450</v>
      </c>
      <c r="E4" s="11">
        <v>494</v>
      </c>
      <c r="F4" s="11">
        <v>1317</v>
      </c>
      <c r="G4" s="11">
        <v>1411</v>
      </c>
      <c r="J4" s="8" t="s">
        <v>67</v>
      </c>
      <c r="K4" s="3">
        <v>0.377</v>
      </c>
      <c r="L4" s="3">
        <v>0.379</v>
      </c>
      <c r="M4" s="3">
        <v>0.373</v>
      </c>
      <c r="N4" s="3">
        <v>0.373</v>
      </c>
      <c r="O4" s="3">
        <v>0.375</v>
      </c>
    </row>
    <row r="5" spans="2:15" x14ac:dyDescent="0.25">
      <c r="B5" t="s">
        <v>68</v>
      </c>
      <c r="C5">
        <v>349</v>
      </c>
      <c r="D5">
        <v>346</v>
      </c>
      <c r="E5">
        <v>311</v>
      </c>
      <c r="F5">
        <v>981</v>
      </c>
      <c r="G5">
        <v>997</v>
      </c>
    </row>
    <row r="6" spans="2:15" x14ac:dyDescent="0.25">
      <c r="B6" t="s">
        <v>69</v>
      </c>
      <c r="C6">
        <v>102</v>
      </c>
      <c r="D6">
        <v>110</v>
      </c>
      <c r="E6">
        <v>113</v>
      </c>
      <c r="F6">
        <v>309</v>
      </c>
      <c r="G6">
        <v>332</v>
      </c>
    </row>
  </sheetData>
  <mergeCells count="2">
    <mergeCell ref="B2:G2"/>
    <mergeCell ref="J2:O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767E-187D-4BED-BBAB-0D1EEC80F334}">
  <dimension ref="C12:N36"/>
  <sheetViews>
    <sheetView topLeftCell="A25" workbookViewId="0">
      <selection activeCell="F36" sqref="F36"/>
    </sheetView>
  </sheetViews>
  <sheetFormatPr defaultRowHeight="15" x14ac:dyDescent="0.25"/>
  <cols>
    <col min="3" max="3" width="38.85546875" bestFit="1" customWidth="1"/>
    <col min="4" max="6" width="6" bestFit="1" customWidth="1"/>
  </cols>
  <sheetData>
    <row r="12" spans="3:6" x14ac:dyDescent="0.25">
      <c r="C12" t="s">
        <v>35</v>
      </c>
      <c r="D12" t="s">
        <v>6</v>
      </c>
      <c r="E12" t="s">
        <v>9</v>
      </c>
      <c r="F12" t="s">
        <v>121</v>
      </c>
    </row>
    <row r="14" spans="3:6" s="14" customFormat="1" ht="14.25" customHeight="1" x14ac:dyDescent="0.25">
      <c r="C14" s="14" t="s">
        <v>125</v>
      </c>
      <c r="D14" s="14">
        <v>61464</v>
      </c>
      <c r="E14" s="14">
        <v>65935</v>
      </c>
      <c r="F14" s="14">
        <v>69333</v>
      </c>
    </row>
    <row r="15" spans="3:6" s="14" customFormat="1" x14ac:dyDescent="0.25">
      <c r="C15" s="14" t="s">
        <v>126</v>
      </c>
      <c r="D15" s="14">
        <v>52789</v>
      </c>
      <c r="E15" s="14">
        <v>56267</v>
      </c>
      <c r="F15" s="14">
        <v>58802</v>
      </c>
    </row>
    <row r="16" spans="3:6" x14ac:dyDescent="0.25">
      <c r="C16" t="s">
        <v>38</v>
      </c>
      <c r="D16">
        <v>42236</v>
      </c>
      <c r="E16">
        <v>44852</v>
      </c>
      <c r="F16">
        <v>46888</v>
      </c>
    </row>
    <row r="17" spans="3:14" x14ac:dyDescent="0.25">
      <c r="C17" t="s">
        <v>122</v>
      </c>
      <c r="D17">
        <v>2219</v>
      </c>
      <c r="E17">
        <v>2913</v>
      </c>
      <c r="F17">
        <v>3258</v>
      </c>
    </row>
    <row r="18" spans="3:14" x14ac:dyDescent="0.25">
      <c r="C18" t="s">
        <v>123</v>
      </c>
      <c r="D18">
        <v>3548</v>
      </c>
      <c r="E18">
        <v>4262</v>
      </c>
      <c r="F18">
        <v>4558</v>
      </c>
    </row>
    <row r="19" spans="3:14" x14ac:dyDescent="0.25">
      <c r="C19" t="s">
        <v>72</v>
      </c>
      <c r="D19">
        <v>4167</v>
      </c>
      <c r="E19">
        <v>3795</v>
      </c>
      <c r="F19">
        <v>3731</v>
      </c>
    </row>
    <row r="20" spans="3:14" x14ac:dyDescent="0.25">
      <c r="C20" t="s">
        <v>21</v>
      </c>
      <c r="D20">
        <v>513</v>
      </c>
      <c r="E20">
        <v>395</v>
      </c>
      <c r="F20">
        <v>333</v>
      </c>
    </row>
    <row r="21" spans="3:14" x14ac:dyDescent="0.25">
      <c r="C21" t="s">
        <v>124</v>
      </c>
      <c r="D21">
        <v>106</v>
      </c>
      <c r="E21">
        <v>50</v>
      </c>
      <c r="F21">
        <v>35</v>
      </c>
    </row>
    <row r="22" spans="3:14" s="14" customFormat="1" x14ac:dyDescent="0.25">
      <c r="C22" s="14" t="s">
        <v>127</v>
      </c>
      <c r="D22" s="14">
        <v>8857</v>
      </c>
      <c r="E22" s="14">
        <v>9668</v>
      </c>
      <c r="F22" s="14">
        <v>10531</v>
      </c>
    </row>
    <row r="23" spans="3:14" x14ac:dyDescent="0.25">
      <c r="C23" t="s">
        <v>128</v>
      </c>
      <c r="D23">
        <v>4032</v>
      </c>
      <c r="E23">
        <v>4797</v>
      </c>
      <c r="F23">
        <v>5262</v>
      </c>
    </row>
    <row r="24" spans="3:14" x14ac:dyDescent="0.25">
      <c r="C24" t="s">
        <v>129</v>
      </c>
      <c r="D24">
        <v>4765</v>
      </c>
      <c r="E24">
        <v>4829</v>
      </c>
      <c r="F24">
        <v>5230</v>
      </c>
    </row>
    <row r="25" spans="3:14" x14ac:dyDescent="0.25">
      <c r="C25" t="s">
        <v>130</v>
      </c>
      <c r="D25">
        <v>60</v>
      </c>
      <c r="E25">
        <v>43</v>
      </c>
      <c r="F25">
        <v>39</v>
      </c>
      <c r="N25" s="1"/>
    </row>
    <row r="26" spans="3:14" s="14" customFormat="1" x14ac:dyDescent="0.25"/>
    <row r="27" spans="3:14" x14ac:dyDescent="0.25">
      <c r="C27" s="14" t="s">
        <v>131</v>
      </c>
      <c r="D27" s="14">
        <v>12884</v>
      </c>
      <c r="E27" s="14">
        <v>9628</v>
      </c>
      <c r="F27" s="14">
        <v>10318</v>
      </c>
    </row>
    <row r="28" spans="3:14" x14ac:dyDescent="0.25">
      <c r="C28" t="s">
        <v>39</v>
      </c>
      <c r="D28">
        <v>6426</v>
      </c>
      <c r="E28">
        <v>5949</v>
      </c>
      <c r="F28">
        <v>6547</v>
      </c>
    </row>
    <row r="29" spans="3:14" x14ac:dyDescent="0.25">
      <c r="C29" t="s">
        <v>132</v>
      </c>
      <c r="D29">
        <v>5114</v>
      </c>
      <c r="E29">
        <v>2655</v>
      </c>
      <c r="F29">
        <v>2507</v>
      </c>
    </row>
    <row r="30" spans="3:14" x14ac:dyDescent="0.25">
      <c r="C30" t="s">
        <v>133</v>
      </c>
      <c r="D30">
        <v>1343</v>
      </c>
      <c r="E30">
        <v>1025</v>
      </c>
      <c r="F30">
        <v>1265</v>
      </c>
    </row>
    <row r="34" spans="3:6" x14ac:dyDescent="0.25">
      <c r="C34" s="14" t="s">
        <v>134</v>
      </c>
      <c r="D34" s="14">
        <v>28856</v>
      </c>
      <c r="E34" s="14">
        <v>26665</v>
      </c>
      <c r="F34" s="14">
        <v>28323</v>
      </c>
    </row>
    <row r="35" spans="3:6" x14ac:dyDescent="0.25">
      <c r="C35" t="s">
        <v>135</v>
      </c>
      <c r="D35">
        <v>6008</v>
      </c>
      <c r="E35">
        <v>5934</v>
      </c>
      <c r="F35">
        <v>6120</v>
      </c>
    </row>
    <row r="36" spans="3:6" x14ac:dyDescent="0.25">
      <c r="C36" t="s">
        <v>136</v>
      </c>
      <c r="D36">
        <v>9964</v>
      </c>
      <c r="E36">
        <v>11103</v>
      </c>
      <c r="F36">
        <v>11885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5116-4A8C-412D-BBE6-45B5E5EC0DB3}">
  <dimension ref="B3:E11"/>
  <sheetViews>
    <sheetView workbookViewId="0">
      <selection activeCell="B3" sqref="B3"/>
    </sheetView>
  </sheetViews>
  <sheetFormatPr defaultRowHeight="15" x14ac:dyDescent="0.25"/>
  <cols>
    <col min="2" max="2" width="21.140625" bestFit="1" customWidth="1"/>
  </cols>
  <sheetData>
    <row r="3" spans="2:5" x14ac:dyDescent="0.25">
      <c r="C3" t="s">
        <v>5</v>
      </c>
      <c r="D3" t="s">
        <v>8</v>
      </c>
      <c r="E3" t="s">
        <v>9</v>
      </c>
    </row>
    <row r="4" spans="2:5" x14ac:dyDescent="0.25">
      <c r="B4" t="s">
        <v>71</v>
      </c>
      <c r="C4">
        <v>0.7</v>
      </c>
      <c r="D4">
        <v>0.6</v>
      </c>
      <c r="E4">
        <v>0.5</v>
      </c>
    </row>
    <row r="5" spans="2:5" x14ac:dyDescent="0.25">
      <c r="B5" t="s">
        <v>42</v>
      </c>
      <c r="C5">
        <v>4.5</v>
      </c>
      <c r="D5">
        <v>4.8</v>
      </c>
      <c r="E5">
        <v>4.8</v>
      </c>
    </row>
    <row r="6" spans="2:5" x14ac:dyDescent="0.25">
      <c r="B6" t="s">
        <v>22</v>
      </c>
      <c r="C6">
        <v>3.8</v>
      </c>
      <c r="D6">
        <v>4.5</v>
      </c>
      <c r="E6">
        <v>4.8</v>
      </c>
    </row>
    <row r="7" spans="2:5" x14ac:dyDescent="0.25">
      <c r="B7" t="s">
        <v>72</v>
      </c>
      <c r="C7">
        <v>4.3</v>
      </c>
      <c r="D7">
        <v>3.9</v>
      </c>
      <c r="E7">
        <v>3.8</v>
      </c>
    </row>
    <row r="8" spans="2:5" x14ac:dyDescent="0.25">
      <c r="B8" t="s">
        <v>73</v>
      </c>
      <c r="C8">
        <v>5.5</v>
      </c>
      <c r="D8">
        <v>6.7</v>
      </c>
      <c r="E8">
        <v>7.2</v>
      </c>
    </row>
    <row r="9" spans="2:5" x14ac:dyDescent="0.25">
      <c r="B9" t="s">
        <v>38</v>
      </c>
      <c r="C9">
        <v>45.6</v>
      </c>
      <c r="D9">
        <v>44.7</v>
      </c>
      <c r="E9">
        <v>44.9</v>
      </c>
    </row>
    <row r="10" spans="2:5" x14ac:dyDescent="0.25">
      <c r="B10" t="s">
        <v>74</v>
      </c>
      <c r="C10">
        <v>2.2000000000000002</v>
      </c>
      <c r="D10">
        <v>2.5</v>
      </c>
      <c r="E10">
        <v>2.8</v>
      </c>
    </row>
    <row r="11" spans="2:5" x14ac:dyDescent="0.25">
      <c r="B11" t="s">
        <v>75</v>
      </c>
      <c r="C11">
        <v>23.7</v>
      </c>
      <c r="D11">
        <v>23.5</v>
      </c>
      <c r="E11">
        <v>23.9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1BA9-A722-4D51-8849-833605DBA551}">
  <dimension ref="B4:O7"/>
  <sheetViews>
    <sheetView workbookViewId="0">
      <selection activeCell="G5" sqref="C5:G5"/>
    </sheetView>
  </sheetViews>
  <sheetFormatPr defaultRowHeight="15" x14ac:dyDescent="0.25"/>
  <sheetData>
    <row r="4" spans="2:15" x14ac:dyDescent="0.25">
      <c r="B4" s="13" t="s">
        <v>76</v>
      </c>
      <c r="C4" s="13"/>
      <c r="D4" s="13"/>
      <c r="E4" s="13"/>
      <c r="F4" s="13"/>
      <c r="G4" s="13"/>
      <c r="J4" s="13" t="s">
        <v>77</v>
      </c>
      <c r="K4" s="13"/>
      <c r="L4" s="13"/>
      <c r="M4" s="13"/>
      <c r="N4" s="13"/>
      <c r="O4" s="13"/>
    </row>
    <row r="5" spans="2:15" x14ac:dyDescent="0.25">
      <c r="C5" t="s">
        <v>5</v>
      </c>
      <c r="D5" t="s">
        <v>8</v>
      </c>
      <c r="E5" t="s">
        <v>9</v>
      </c>
      <c r="F5" t="s">
        <v>11</v>
      </c>
      <c r="G5" t="s">
        <v>12</v>
      </c>
      <c r="K5" t="s">
        <v>5</v>
      </c>
      <c r="L5" t="s">
        <v>8</v>
      </c>
      <c r="M5" t="s">
        <v>9</v>
      </c>
      <c r="N5" t="s">
        <v>11</v>
      </c>
      <c r="O5" t="s">
        <v>12</v>
      </c>
    </row>
    <row r="6" spans="2:15" ht="30" x14ac:dyDescent="0.25">
      <c r="B6" s="8" t="s">
        <v>73</v>
      </c>
      <c r="C6" s="10">
        <v>1.1000000000000001</v>
      </c>
      <c r="D6" s="10">
        <v>0.9</v>
      </c>
      <c r="E6" s="10">
        <v>1.1000000000000001</v>
      </c>
      <c r="F6" s="10">
        <v>3.1</v>
      </c>
      <c r="G6" s="10">
        <v>3</v>
      </c>
      <c r="J6" s="8" t="s">
        <v>67</v>
      </c>
      <c r="K6" s="3">
        <v>0.41</v>
      </c>
      <c r="L6" s="3">
        <v>0.41</v>
      </c>
      <c r="M6" s="3">
        <v>0.41</v>
      </c>
      <c r="N6" s="3">
        <v>0.42</v>
      </c>
      <c r="O6" s="3">
        <v>0.41</v>
      </c>
    </row>
    <row r="7" spans="2:15" x14ac:dyDescent="0.25">
      <c r="B7" t="s">
        <v>78</v>
      </c>
      <c r="C7" s="12">
        <v>6.4</v>
      </c>
      <c r="D7" s="12">
        <v>4.7</v>
      </c>
      <c r="E7" s="12">
        <v>5.4</v>
      </c>
      <c r="F7" s="12">
        <v>18.100000000000001</v>
      </c>
      <c r="G7" s="12">
        <v>15</v>
      </c>
    </row>
  </sheetData>
  <mergeCells count="2">
    <mergeCell ref="B4:G4"/>
    <mergeCell ref="J4:O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0F4D6-7254-451B-8F15-55583AC6E46C}">
  <dimension ref="B2:E10"/>
  <sheetViews>
    <sheetView workbookViewId="0">
      <selection activeCell="E2" sqref="C2:E2"/>
    </sheetView>
  </sheetViews>
  <sheetFormatPr defaultRowHeight="15" x14ac:dyDescent="0.25"/>
  <cols>
    <col min="2" max="2" width="24.7109375" bestFit="1" customWidth="1"/>
  </cols>
  <sheetData>
    <row r="2" spans="2:5" x14ac:dyDescent="0.25">
      <c r="C2" t="s">
        <v>5</v>
      </c>
      <c r="D2" t="s">
        <v>8</v>
      </c>
      <c r="E2" t="s">
        <v>9</v>
      </c>
    </row>
    <row r="3" spans="2:5" x14ac:dyDescent="0.25">
      <c r="B3" t="s">
        <v>79</v>
      </c>
      <c r="C3">
        <v>5.5</v>
      </c>
      <c r="D3">
        <v>1.3</v>
      </c>
      <c r="E3">
        <v>1.5</v>
      </c>
    </row>
    <row r="4" spans="2:5" x14ac:dyDescent="0.25">
      <c r="B4" t="s">
        <v>80</v>
      </c>
      <c r="C4">
        <v>6.5</v>
      </c>
      <c r="D4">
        <v>5.3</v>
      </c>
      <c r="E4">
        <v>5.5</v>
      </c>
    </row>
    <row r="5" spans="2:5" x14ac:dyDescent="0.25">
      <c r="B5" t="s">
        <v>81</v>
      </c>
      <c r="C5">
        <v>37.1</v>
      </c>
      <c r="D5">
        <v>28.4</v>
      </c>
      <c r="E5">
        <v>30.4</v>
      </c>
    </row>
    <row r="6" spans="2:5" x14ac:dyDescent="0.25">
      <c r="B6" t="s">
        <v>82</v>
      </c>
      <c r="C6">
        <v>3.2</v>
      </c>
      <c r="D6">
        <v>3.4</v>
      </c>
      <c r="E6">
        <v>4</v>
      </c>
    </row>
    <row r="7" spans="2:5" x14ac:dyDescent="0.25">
      <c r="B7" t="s">
        <v>83</v>
      </c>
      <c r="C7">
        <v>10.4</v>
      </c>
      <c r="D7">
        <v>6.8</v>
      </c>
      <c r="E7">
        <v>8.8000000000000007</v>
      </c>
    </row>
    <row r="8" spans="2:5" x14ac:dyDescent="0.25">
      <c r="B8" t="s">
        <v>84</v>
      </c>
      <c r="C8">
        <v>0.7</v>
      </c>
      <c r="D8">
        <v>0.8</v>
      </c>
      <c r="E8">
        <v>0</v>
      </c>
    </row>
    <row r="9" spans="2:5" x14ac:dyDescent="0.25">
      <c r="B9" t="s">
        <v>85</v>
      </c>
      <c r="C9">
        <v>4.2</v>
      </c>
      <c r="D9">
        <v>7.2</v>
      </c>
      <c r="E9">
        <v>3.6</v>
      </c>
    </row>
    <row r="10" spans="2:5" x14ac:dyDescent="0.25">
      <c r="B10" t="s">
        <v>86</v>
      </c>
      <c r="C10">
        <v>35</v>
      </c>
      <c r="D10">
        <v>40.799999999999997</v>
      </c>
      <c r="E10">
        <v>41.9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DA400-E7C3-412D-BF6F-6237B27DC1D6}">
  <dimension ref="D2:O7"/>
  <sheetViews>
    <sheetView workbookViewId="0">
      <selection activeCell="L5" sqref="L5"/>
    </sheetView>
  </sheetViews>
  <sheetFormatPr defaultRowHeight="15" x14ac:dyDescent="0.25"/>
  <cols>
    <col min="4" max="4" width="20.140625" bestFit="1" customWidth="1"/>
    <col min="10" max="10" width="20.140625" bestFit="1" customWidth="1"/>
    <col min="11" max="11" width="11.7109375" bestFit="1" customWidth="1"/>
    <col min="12" max="12" width="16.42578125" bestFit="1" customWidth="1"/>
    <col min="13" max="13" width="13.7109375" bestFit="1" customWidth="1"/>
    <col min="14" max="14" width="12" bestFit="1" customWidth="1"/>
    <col min="15" max="15" width="7.28515625" bestFit="1" customWidth="1"/>
  </cols>
  <sheetData>
    <row r="2" spans="4:15" x14ac:dyDescent="0.25">
      <c r="E2" t="s">
        <v>90</v>
      </c>
      <c r="J2" s="13" t="s">
        <v>91</v>
      </c>
      <c r="K2" s="13"/>
      <c r="L2" s="13"/>
      <c r="M2" s="13"/>
    </row>
    <row r="3" spans="4:15" x14ac:dyDescent="0.25">
      <c r="E3" t="s">
        <v>5</v>
      </c>
      <c r="F3" t="s">
        <v>8</v>
      </c>
      <c r="G3" t="s">
        <v>9</v>
      </c>
      <c r="K3" t="s">
        <v>92</v>
      </c>
      <c r="L3" t="s">
        <v>93</v>
      </c>
      <c r="M3" t="s">
        <v>94</v>
      </c>
      <c r="N3" t="s">
        <v>95</v>
      </c>
      <c r="O3" t="s">
        <v>96</v>
      </c>
    </row>
    <row r="4" spans="4:15" x14ac:dyDescent="0.25">
      <c r="D4" t="s">
        <v>87</v>
      </c>
      <c r="E4" s="3">
        <v>1.4999999999999999E-2</v>
      </c>
      <c r="F4" s="3">
        <v>1.4999999999999999E-2</v>
      </c>
      <c r="G4" s="3">
        <v>1.4E-2</v>
      </c>
      <c r="J4" t="s">
        <v>87</v>
      </c>
      <c r="K4" s="3">
        <v>1.4999999999999999E-2</v>
      </c>
      <c r="L4" s="3">
        <v>0</v>
      </c>
      <c r="M4" s="3">
        <v>5.0000000000000001E-3</v>
      </c>
      <c r="N4" s="3">
        <v>1E-3</v>
      </c>
      <c r="O4" s="3">
        <v>1.4E-2</v>
      </c>
    </row>
    <row r="5" spans="4:15" x14ac:dyDescent="0.25">
      <c r="D5" t="s">
        <v>88</v>
      </c>
      <c r="E5" s="3">
        <v>1.7000000000000001E-2</v>
      </c>
      <c r="F5" s="3">
        <v>1.7999999999999999E-2</v>
      </c>
      <c r="G5" s="3">
        <v>2.4E-2</v>
      </c>
      <c r="J5" t="s">
        <v>88</v>
      </c>
      <c r="K5" s="3">
        <v>1.7999999999999999E-2</v>
      </c>
      <c r="L5" s="3"/>
      <c r="M5" s="3"/>
      <c r="N5" s="3"/>
      <c r="O5" s="3">
        <v>2.4E-2</v>
      </c>
    </row>
    <row r="6" spans="4:15" x14ac:dyDescent="0.25">
      <c r="D6" t="s">
        <v>89</v>
      </c>
      <c r="E6" s="3">
        <v>0.13</v>
      </c>
      <c r="F6" s="3">
        <v>0.127</v>
      </c>
      <c r="G6" s="3">
        <v>0.129</v>
      </c>
      <c r="J6" t="s">
        <v>89</v>
      </c>
      <c r="K6" s="3">
        <v>0.127</v>
      </c>
      <c r="L6" s="3"/>
      <c r="M6" s="3"/>
      <c r="N6" s="3"/>
      <c r="O6" s="3">
        <v>0.129</v>
      </c>
    </row>
    <row r="7" spans="4:15" x14ac:dyDescent="0.25">
      <c r="K7" s="9"/>
      <c r="L7" s="9"/>
      <c r="M7" s="9"/>
      <c r="N7" s="9"/>
    </row>
  </sheetData>
  <mergeCells count="1">
    <mergeCell ref="J2:M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6C394-E57F-4E0F-A385-35E21DA9536A}">
  <dimension ref="A3:N5"/>
  <sheetViews>
    <sheetView workbookViewId="0">
      <selection activeCell="I4" sqref="I4"/>
    </sheetView>
  </sheetViews>
  <sheetFormatPr defaultRowHeight="15" x14ac:dyDescent="0.25"/>
  <cols>
    <col min="1" max="1" width="15.140625" bestFit="1" customWidth="1"/>
  </cols>
  <sheetData>
    <row r="3" spans="1:14" x14ac:dyDescent="0.25">
      <c r="B3" t="s">
        <v>5</v>
      </c>
      <c r="C3" t="s">
        <v>8</v>
      </c>
      <c r="D3" t="s">
        <v>9</v>
      </c>
      <c r="J3" t="s">
        <v>5</v>
      </c>
      <c r="K3" t="s">
        <v>8</v>
      </c>
      <c r="L3" t="s">
        <v>9</v>
      </c>
      <c r="M3" t="s">
        <v>11</v>
      </c>
      <c r="N3" t="s">
        <v>12</v>
      </c>
    </row>
    <row r="4" spans="1:14" x14ac:dyDescent="0.25">
      <c r="A4" t="s">
        <v>97</v>
      </c>
      <c r="B4">
        <v>5.5</v>
      </c>
      <c r="C4">
        <v>6.7</v>
      </c>
      <c r="D4">
        <v>7.2</v>
      </c>
      <c r="I4" t="s">
        <v>98</v>
      </c>
      <c r="J4">
        <v>441.7</v>
      </c>
      <c r="K4">
        <v>314.2</v>
      </c>
      <c r="L4">
        <v>354.2</v>
      </c>
      <c r="M4">
        <v>1252.4000000000001</v>
      </c>
      <c r="N4">
        <v>1034</v>
      </c>
    </row>
    <row r="5" spans="1:14" x14ac:dyDescent="0.25">
      <c r="A5" t="s">
        <v>78</v>
      </c>
      <c r="B5">
        <v>45.6</v>
      </c>
      <c r="C5">
        <v>44.7</v>
      </c>
      <c r="D5">
        <v>44.9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78759-C237-4426-A1F9-93877BD87587}">
  <dimension ref="A1:I22"/>
  <sheetViews>
    <sheetView workbookViewId="0">
      <selection activeCell="E11" sqref="E11"/>
    </sheetView>
  </sheetViews>
  <sheetFormatPr defaultRowHeight="15" x14ac:dyDescent="0.25"/>
  <sheetData>
    <row r="1" spans="1:9" x14ac:dyDescent="0.25">
      <c r="B1" s="13" t="s">
        <v>99</v>
      </c>
      <c r="C1" s="13"/>
      <c r="D1" s="13"/>
      <c r="G1" t="s">
        <v>102</v>
      </c>
    </row>
    <row r="2" spans="1:9" x14ac:dyDescent="0.25">
      <c r="B2" t="s">
        <v>5</v>
      </c>
      <c r="C2" t="s">
        <v>8</v>
      </c>
      <c r="D2" t="s">
        <v>9</v>
      </c>
      <c r="H2" t="s">
        <v>6</v>
      </c>
      <c r="I2" t="s">
        <v>121</v>
      </c>
    </row>
    <row r="3" spans="1:9" x14ac:dyDescent="0.25">
      <c r="A3" t="s">
        <v>41</v>
      </c>
      <c r="B3">
        <v>2.2000000000000002</v>
      </c>
      <c r="C3">
        <v>2.5</v>
      </c>
      <c r="D3">
        <v>2.8</v>
      </c>
      <c r="G3" t="s">
        <v>103</v>
      </c>
      <c r="H3">
        <v>12</v>
      </c>
      <c r="I3">
        <v>12</v>
      </c>
    </row>
    <row r="4" spans="1:9" x14ac:dyDescent="0.25">
      <c r="A4" t="s">
        <v>100</v>
      </c>
      <c r="B4">
        <v>13.2</v>
      </c>
      <c r="C4">
        <v>13.6</v>
      </c>
      <c r="D4">
        <v>14</v>
      </c>
      <c r="G4" t="s">
        <v>104</v>
      </c>
      <c r="H4">
        <v>12</v>
      </c>
      <c r="I4">
        <v>12</v>
      </c>
    </row>
    <row r="5" spans="1:9" x14ac:dyDescent="0.25">
      <c r="A5" t="s">
        <v>101</v>
      </c>
      <c r="B5">
        <v>10.5</v>
      </c>
      <c r="C5">
        <v>9.9</v>
      </c>
      <c r="D5">
        <v>9.8000000000000007</v>
      </c>
      <c r="G5" t="s">
        <v>74</v>
      </c>
      <c r="H5">
        <v>10</v>
      </c>
      <c r="I5">
        <v>13</v>
      </c>
    </row>
    <row r="6" spans="1:9" x14ac:dyDescent="0.25">
      <c r="G6" t="s">
        <v>105</v>
      </c>
      <c r="H6">
        <v>8</v>
      </c>
      <c r="I6">
        <v>10</v>
      </c>
    </row>
    <row r="7" spans="1:9" x14ac:dyDescent="0.25">
      <c r="G7" t="s">
        <v>106</v>
      </c>
      <c r="H7">
        <v>7</v>
      </c>
      <c r="I7">
        <v>4</v>
      </c>
    </row>
    <row r="8" spans="1:9" x14ac:dyDescent="0.25">
      <c r="G8" t="s">
        <v>16</v>
      </c>
      <c r="H8">
        <v>5</v>
      </c>
      <c r="I8">
        <v>5</v>
      </c>
    </row>
    <row r="9" spans="1:9" x14ac:dyDescent="0.25">
      <c r="G9" t="s">
        <v>107</v>
      </c>
      <c r="H9">
        <v>5</v>
      </c>
      <c r="I9">
        <v>4</v>
      </c>
    </row>
    <row r="10" spans="1:9" x14ac:dyDescent="0.25">
      <c r="G10" t="s">
        <v>108</v>
      </c>
      <c r="H10">
        <v>4</v>
      </c>
      <c r="I10">
        <v>3</v>
      </c>
    </row>
    <row r="11" spans="1:9" x14ac:dyDescent="0.25">
      <c r="G11" t="s">
        <v>109</v>
      </c>
      <c r="H11">
        <v>4</v>
      </c>
      <c r="I11">
        <v>3</v>
      </c>
    </row>
    <row r="12" spans="1:9" x14ac:dyDescent="0.25">
      <c r="G12" t="s">
        <v>110</v>
      </c>
      <c r="H12">
        <v>3</v>
      </c>
      <c r="I12">
        <v>3</v>
      </c>
    </row>
    <row r="13" spans="1:9" x14ac:dyDescent="0.25">
      <c r="G13" t="s">
        <v>111</v>
      </c>
      <c r="H13">
        <v>3</v>
      </c>
      <c r="I13">
        <v>2</v>
      </c>
    </row>
    <row r="14" spans="1:9" x14ac:dyDescent="0.25">
      <c r="G14" t="s">
        <v>112</v>
      </c>
      <c r="H14">
        <v>3</v>
      </c>
      <c r="I14">
        <v>2</v>
      </c>
    </row>
    <row r="15" spans="1:9" x14ac:dyDescent="0.25">
      <c r="G15" t="s">
        <v>113</v>
      </c>
      <c r="H15">
        <v>2</v>
      </c>
      <c r="I15">
        <v>2</v>
      </c>
    </row>
    <row r="16" spans="1:9" x14ac:dyDescent="0.25">
      <c r="G16" t="s">
        <v>114</v>
      </c>
      <c r="H16">
        <v>2</v>
      </c>
      <c r="I16">
        <v>2</v>
      </c>
    </row>
    <row r="17" spans="7:9" x14ac:dyDescent="0.25">
      <c r="G17" t="s">
        <v>115</v>
      </c>
      <c r="H17">
        <v>2</v>
      </c>
      <c r="I17">
        <v>1</v>
      </c>
    </row>
    <row r="18" spans="7:9" x14ac:dyDescent="0.25">
      <c r="G18" t="s">
        <v>116</v>
      </c>
      <c r="H18">
        <v>2</v>
      </c>
      <c r="I18">
        <v>1</v>
      </c>
    </row>
    <row r="19" spans="7:9" x14ac:dyDescent="0.25">
      <c r="G19" t="s">
        <v>117</v>
      </c>
      <c r="H19">
        <v>1</v>
      </c>
      <c r="I19">
        <v>1</v>
      </c>
    </row>
    <row r="20" spans="7:9" x14ac:dyDescent="0.25">
      <c r="G20" t="s">
        <v>118</v>
      </c>
      <c r="H20">
        <v>1</v>
      </c>
      <c r="I20">
        <v>1</v>
      </c>
    </row>
    <row r="21" spans="7:9" x14ac:dyDescent="0.25">
      <c r="G21" t="s">
        <v>119</v>
      </c>
      <c r="H21">
        <v>0</v>
      </c>
      <c r="I21">
        <v>1</v>
      </c>
    </row>
    <row r="22" spans="7:9" x14ac:dyDescent="0.25">
      <c r="G22" t="s">
        <v>120</v>
      </c>
      <c r="H22">
        <v>13</v>
      </c>
      <c r="I22">
        <v>18</v>
      </c>
    </row>
  </sheetData>
  <mergeCells count="1">
    <mergeCell ref="B1:D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0"/>
  <sheetViews>
    <sheetView workbookViewId="0">
      <selection activeCell="I22" sqref="I22"/>
    </sheetView>
  </sheetViews>
  <sheetFormatPr defaultRowHeight="15" x14ac:dyDescent="0.25"/>
  <sheetData>
    <row r="7" spans="2:16" x14ac:dyDescent="0.25">
      <c r="B7" t="s">
        <v>15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16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17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18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4:H10"/>
  <sheetViews>
    <sheetView workbookViewId="0">
      <selection activeCell="N7" sqref="N7"/>
    </sheetView>
  </sheetViews>
  <sheetFormatPr defaultRowHeight="15" x14ac:dyDescent="0.25"/>
  <cols>
    <col min="7" max="8" width="9.7109375" bestFit="1" customWidth="1"/>
  </cols>
  <sheetData>
    <row r="4" spans="3:8" x14ac:dyDescent="0.25">
      <c r="D4" t="s">
        <v>5</v>
      </c>
      <c r="E4" t="s">
        <v>8</v>
      </c>
      <c r="F4" t="s">
        <v>9</v>
      </c>
      <c r="G4" t="s">
        <v>24</v>
      </c>
      <c r="H4" t="s">
        <v>25</v>
      </c>
    </row>
    <row r="5" spans="3:8" x14ac:dyDescent="0.25">
      <c r="C5" t="s">
        <v>19</v>
      </c>
      <c r="D5">
        <v>0.13900000000000001</v>
      </c>
      <c r="E5">
        <v>0.11899999999999999</v>
      </c>
      <c r="F5">
        <v>9.2999999999999999E-2</v>
      </c>
      <c r="G5" s="3">
        <v>0.223</v>
      </c>
      <c r="H5" s="3">
        <v>-0.33400000000000002</v>
      </c>
    </row>
    <row r="6" spans="3:8" x14ac:dyDescent="0.25">
      <c r="C6" t="s">
        <v>20</v>
      </c>
      <c r="D6">
        <v>4.2649999999999997</v>
      </c>
      <c r="E6">
        <v>3.9140000000000001</v>
      </c>
      <c r="F6">
        <v>3.7949999999999999</v>
      </c>
      <c r="G6" s="3">
        <v>-0.03</v>
      </c>
      <c r="H6" s="3">
        <v>-0.11</v>
      </c>
    </row>
    <row r="7" spans="3:8" x14ac:dyDescent="0.25">
      <c r="C7" t="s">
        <v>21</v>
      </c>
      <c r="D7">
        <v>0.52500000000000002</v>
      </c>
      <c r="E7">
        <v>0.45700000000000002</v>
      </c>
      <c r="F7">
        <v>0.39500000000000002</v>
      </c>
      <c r="G7" s="3">
        <v>-0.13600000000000001</v>
      </c>
      <c r="H7" s="3">
        <v>-0.248</v>
      </c>
    </row>
    <row r="8" spans="3:8" x14ac:dyDescent="0.25">
      <c r="C8" t="s">
        <v>22</v>
      </c>
      <c r="D8">
        <v>3.83</v>
      </c>
      <c r="E8">
        <v>4.5119999999999996</v>
      </c>
      <c r="F8">
        <v>4.7969999999999997</v>
      </c>
      <c r="G8" s="3">
        <v>6.3E-2</v>
      </c>
      <c r="H8" s="3">
        <v>0.253</v>
      </c>
    </row>
    <row r="9" spans="3:8" x14ac:dyDescent="0.25">
      <c r="C9" t="s">
        <v>15</v>
      </c>
      <c r="D9">
        <v>8.76</v>
      </c>
      <c r="E9">
        <v>9.0030000000000001</v>
      </c>
      <c r="F9">
        <v>9.08</v>
      </c>
      <c r="G9" s="3">
        <v>8.0000000000000002E-3</v>
      </c>
      <c r="H9" s="3">
        <v>3.6999999999999998E-2</v>
      </c>
    </row>
    <row r="10" spans="3:8" x14ac:dyDescent="0.25">
      <c r="G10" s="3">
        <v>-0.154</v>
      </c>
      <c r="H10" s="3">
        <v>-0.26600000000000001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3B47-E08A-478E-9E32-E383F8DD5BE7}">
  <dimension ref="C14:F15"/>
  <sheetViews>
    <sheetView workbookViewId="0">
      <selection activeCell="E12" sqref="E12"/>
    </sheetView>
  </sheetViews>
  <sheetFormatPr defaultRowHeight="15" x14ac:dyDescent="0.25"/>
  <sheetData>
    <row r="14" spans="3:6" x14ac:dyDescent="0.25">
      <c r="C14" t="s">
        <v>23</v>
      </c>
      <c r="D14" t="s">
        <v>5</v>
      </c>
      <c r="E14" t="s">
        <v>8</v>
      </c>
      <c r="F14" t="s">
        <v>9</v>
      </c>
    </row>
    <row r="15" spans="3:6" x14ac:dyDescent="0.25">
      <c r="C15" t="s">
        <v>15</v>
      </c>
      <c r="D15">
        <v>4.5419999999999998</v>
      </c>
      <c r="E15">
        <v>4.8109999999999999</v>
      </c>
      <c r="F15">
        <v>4.8289999999999997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1</v>
      </c>
      <c r="X3" t="s">
        <v>2</v>
      </c>
      <c r="Y3" t="s">
        <v>3</v>
      </c>
      <c r="Z3" t="s">
        <v>4</v>
      </c>
      <c r="AA3" t="s">
        <v>5</v>
      </c>
      <c r="AB3" t="s">
        <v>6</v>
      </c>
      <c r="AC3" t="s">
        <v>7</v>
      </c>
      <c r="AD3" t="s">
        <v>8</v>
      </c>
      <c r="AE3" t="s">
        <v>9</v>
      </c>
      <c r="AJ3" t="s">
        <v>11</v>
      </c>
      <c r="AK3" t="s">
        <v>12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DRE Saida 2</vt:lpstr>
      <vt:lpstr>Tabelas</vt:lpstr>
      <vt:lpstr>DRE Saida</vt:lpstr>
      <vt:lpstr>Pizza Teste</vt:lpstr>
      <vt:lpstr>slide_8</vt:lpstr>
      <vt:lpstr>slide_9</vt:lpstr>
      <vt:lpstr>slide_11</vt:lpstr>
      <vt:lpstr>Carteira</vt:lpstr>
      <vt:lpstr>slide_12</vt:lpstr>
      <vt:lpstr>slide_13</vt:lpstr>
      <vt:lpstr>slide_14</vt:lpstr>
      <vt:lpstr>slide_15</vt:lpstr>
      <vt:lpstr>slide_18</vt:lpstr>
      <vt:lpstr>slide_20</vt:lpstr>
      <vt:lpstr>Qualidade Cart 2682</vt:lpstr>
      <vt:lpstr>Emprestimos</vt:lpstr>
      <vt:lpstr>Seguros e Cartoes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2026-03-22T20:50:41Z</dcterms:modified>
</cp:coreProperties>
</file>